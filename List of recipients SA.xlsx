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robu/Documents/卒業論文/"/>
    </mc:Choice>
  </mc:AlternateContent>
  <xr:revisionPtr revIDLastSave="0" documentId="13_ncr:1_{D6880963-0AC2-7746-A115-C1B4B50452EF}" xr6:coauthVersionLast="47" xr6:coauthVersionMax="47" xr10:uidLastSave="{00000000-0000-0000-0000-000000000000}"/>
  <bookViews>
    <workbookView xWindow="0" yWindow="680" windowWidth="31800" windowHeight="18920" activeTab="8" xr2:uid="{00000000-000D-0000-FFFF-FFFF00000000}"/>
  </bookViews>
  <sheets>
    <sheet name="Aid recipients" sheetId="1" r:id="rId1"/>
    <sheet name="Firm list" sheetId="2" r:id="rId2"/>
    <sheet name="Non treated" sheetId="8" r:id="rId3"/>
    <sheet name="Employees" sheetId="3" r:id="rId4"/>
    <sheet name="Yearly Sales" sheetId="4" r:id="rId5"/>
    <sheet name="Investment (capex)" sheetId="5" r:id="rId6"/>
    <sheet name="Wages salaries" sheetId="6" r:id="rId7"/>
    <sheet name="Reversed sheets" sheetId="9" r:id="rId8"/>
    <sheet name="Tangible assets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5" i="1" l="1"/>
  <c r="Q44" i="1"/>
  <c r="Q43" i="1"/>
  <c r="O45" i="1"/>
  <c r="O44" i="1"/>
  <c r="O43" i="1"/>
  <c r="O39" i="1"/>
  <c r="AF33" i="5"/>
  <c r="AE35" i="5"/>
  <c r="AE34" i="5"/>
  <c r="AE33" i="5"/>
  <c r="AD33" i="5"/>
  <c r="AD32" i="5"/>
  <c r="AE34" i="6"/>
  <c r="AF34" i="6"/>
  <c r="AD34" i="6"/>
  <c r="AE33" i="6"/>
  <c r="AF33" i="6"/>
  <c r="AD33" i="6"/>
  <c r="AD32" i="6"/>
  <c r="AE32" i="6"/>
  <c r="AF32" i="6"/>
  <c r="AE31" i="6"/>
  <c r="AF31" i="6"/>
  <c r="AD31" i="6"/>
  <c r="AB30" i="6"/>
  <c r="AC30" i="6"/>
  <c r="AD30" i="6"/>
  <c r="AE30" i="6"/>
  <c r="AF30" i="6"/>
  <c r="AA30" i="6"/>
  <c r="AC29" i="6"/>
  <c r="AD29" i="6"/>
  <c r="AE29" i="6"/>
  <c r="AF29" i="6"/>
  <c r="AB29" i="6"/>
  <c r="AA29" i="6"/>
  <c r="T56" i="6"/>
  <c r="U56" i="6"/>
  <c r="V56" i="6"/>
  <c r="W56" i="6"/>
  <c r="X56" i="6"/>
  <c r="S56" i="6"/>
  <c r="T23" i="6"/>
  <c r="U23" i="6"/>
  <c r="V23" i="6"/>
  <c r="W23" i="6"/>
  <c r="X23" i="6"/>
  <c r="S23" i="6"/>
  <c r="AF35" i="5"/>
  <c r="AD35" i="5"/>
  <c r="AD34" i="5"/>
  <c r="AD31" i="5"/>
  <c r="AA31" i="5"/>
  <c r="AE38" i="4"/>
  <c r="AD30" i="5"/>
  <c r="AE32" i="5"/>
  <c r="AB31" i="5"/>
  <c r="AC31" i="5"/>
  <c r="AE31" i="5"/>
  <c r="AF31" i="5"/>
  <c r="AC30" i="5"/>
  <c r="AB30" i="5"/>
  <c r="AE30" i="5"/>
  <c r="AF30" i="5"/>
  <c r="AF32" i="5" s="1"/>
  <c r="AA30" i="5"/>
  <c r="AG39" i="4"/>
  <c r="AE39" i="4"/>
  <c r="AF39" i="4"/>
  <c r="AG37" i="4"/>
  <c r="AF37" i="4"/>
  <c r="AE37" i="4"/>
  <c r="AF36" i="4"/>
  <c r="AG38" i="4"/>
  <c r="AF38" i="4"/>
  <c r="AG36" i="4"/>
  <c r="AF33" i="3"/>
  <c r="AG34" i="4"/>
  <c r="AG36" i="3"/>
  <c r="AF36" i="3"/>
  <c r="AE36" i="3"/>
  <c r="AG34" i="3"/>
  <c r="AF34" i="3"/>
  <c r="AF35" i="3" s="1"/>
  <c r="AE34" i="3"/>
  <c r="AE35" i="3" s="1"/>
  <c r="AG33" i="3"/>
  <c r="AG35" i="3" s="1"/>
  <c r="AE33" i="3"/>
  <c r="T67" i="4"/>
  <c r="AC35" i="4" s="1"/>
  <c r="U67" i="4"/>
  <c r="AD35" i="4" s="1"/>
  <c r="V67" i="4"/>
  <c r="AE35" i="4" s="1"/>
  <c r="W67" i="4"/>
  <c r="AF35" i="4" s="1"/>
  <c r="X67" i="4"/>
  <c r="AG35" i="4" s="1"/>
  <c r="S67" i="4"/>
  <c r="AB35" i="4" s="1"/>
  <c r="T32" i="4"/>
  <c r="AC34" i="4" s="1"/>
  <c r="U32" i="4"/>
  <c r="AD34" i="4" s="1"/>
  <c r="V32" i="4"/>
  <c r="AE34" i="4" s="1"/>
  <c r="AE36" i="4" s="1"/>
  <c r="W32" i="4"/>
  <c r="AF34" i="4" s="1"/>
  <c r="X32" i="4"/>
  <c r="S32" i="4"/>
  <c r="AB34" i="4" s="1"/>
  <c r="AF7" i="3"/>
  <c r="T64" i="3"/>
  <c r="U64" i="3"/>
  <c r="V64" i="3"/>
  <c r="W64" i="3"/>
  <c r="X64" i="3"/>
  <c r="S64" i="3"/>
  <c r="T31" i="3"/>
  <c r="U31" i="3"/>
  <c r="V31" i="3"/>
  <c r="W31" i="3"/>
  <c r="X31" i="3"/>
  <c r="S31" i="3"/>
  <c r="U55" i="6"/>
  <c r="T55" i="6"/>
  <c r="S55" i="6"/>
  <c r="X54" i="6"/>
  <c r="W54" i="6"/>
  <c r="V54" i="6"/>
  <c r="U54" i="6"/>
  <c r="T54" i="6"/>
  <c r="S54" i="6"/>
  <c r="X52" i="6"/>
  <c r="W52" i="6"/>
  <c r="V52" i="6"/>
  <c r="U52" i="6"/>
  <c r="T52" i="6"/>
  <c r="S52" i="6"/>
  <c r="X22" i="6"/>
  <c r="W22" i="6"/>
  <c r="V22" i="6"/>
  <c r="U22" i="6"/>
  <c r="T22" i="6"/>
  <c r="S22" i="6"/>
  <c r="X21" i="6"/>
  <c r="W21" i="6"/>
  <c r="V21" i="6"/>
  <c r="U21" i="6"/>
  <c r="T21" i="6"/>
  <c r="S21" i="6"/>
  <c r="T20" i="6"/>
  <c r="S20" i="6"/>
  <c r="X19" i="6"/>
  <c r="W19" i="6"/>
  <c r="V19" i="6"/>
  <c r="U19" i="6"/>
  <c r="T19" i="6"/>
  <c r="S19" i="6"/>
  <c r="X18" i="6"/>
  <c r="W18" i="6"/>
  <c r="V18" i="6"/>
  <c r="U18" i="6"/>
  <c r="T18" i="6"/>
  <c r="S18" i="6"/>
  <c r="X17" i="6"/>
  <c r="W17" i="6"/>
  <c r="V17" i="6"/>
  <c r="U17" i="6"/>
  <c r="X16" i="6"/>
  <c r="W16" i="6"/>
  <c r="V16" i="6"/>
  <c r="U16" i="6"/>
  <c r="T16" i="6"/>
  <c r="S16" i="6"/>
  <c r="X15" i="6"/>
  <c r="W15" i="6"/>
  <c r="V15" i="6"/>
  <c r="U15" i="6"/>
  <c r="T15" i="6"/>
  <c r="X14" i="6"/>
  <c r="W14" i="6"/>
  <c r="V14" i="6"/>
  <c r="U14" i="6"/>
  <c r="T14" i="6"/>
  <c r="S14" i="6"/>
  <c r="X13" i="6"/>
  <c r="W13" i="6"/>
  <c r="V13" i="6"/>
  <c r="U13" i="6"/>
  <c r="T13" i="6"/>
  <c r="S13" i="6"/>
  <c r="X11" i="6"/>
  <c r="W11" i="6"/>
  <c r="V11" i="6"/>
  <c r="X10" i="6"/>
  <c r="W10" i="6"/>
  <c r="X8" i="6"/>
  <c r="W8" i="6"/>
  <c r="V8" i="6"/>
  <c r="U8" i="6"/>
  <c r="T8" i="6"/>
  <c r="S8" i="6"/>
  <c r="X7" i="6"/>
  <c r="J73" i="6"/>
  <c r="H73" i="6"/>
  <c r="I73" i="6"/>
  <c r="L71" i="6"/>
  <c r="K71" i="6"/>
  <c r="J71" i="6"/>
  <c r="I71" i="6"/>
  <c r="G71" i="6"/>
  <c r="H71" i="6"/>
  <c r="K67" i="6"/>
  <c r="L67" i="6"/>
  <c r="I67" i="6"/>
  <c r="J67" i="6"/>
  <c r="G67" i="6"/>
  <c r="H67" i="6"/>
  <c r="D39" i="6"/>
  <c r="E39" i="6" s="1"/>
  <c r="F39" i="6" s="1"/>
  <c r="G39" i="6" s="1"/>
  <c r="H39" i="6" s="1"/>
  <c r="I39" i="6" s="1"/>
  <c r="J39" i="6" s="1"/>
  <c r="K39" i="6" s="1"/>
  <c r="L39" i="6" s="1"/>
  <c r="M39" i="6" s="1"/>
  <c r="N39" i="6" s="1"/>
  <c r="C39" i="6"/>
  <c r="X9" i="6"/>
  <c r="W9" i="6"/>
  <c r="V9" i="6"/>
  <c r="U9" i="6"/>
  <c r="T9" i="6"/>
  <c r="S9" i="6"/>
  <c r="C1" i="6"/>
  <c r="D1" i="6" s="1"/>
  <c r="E1" i="6" s="1"/>
  <c r="F1" i="6" s="1"/>
  <c r="G1" i="6" s="1"/>
  <c r="H1" i="6" s="1"/>
  <c r="I1" i="6" s="1"/>
  <c r="J1" i="6" s="1"/>
  <c r="K1" i="6" s="1"/>
  <c r="L1" i="6" s="1"/>
  <c r="M1" i="6" s="1"/>
  <c r="N1" i="6" s="1"/>
  <c r="M35" i="6"/>
  <c r="L35" i="6"/>
  <c r="K35" i="6"/>
  <c r="J35" i="6"/>
  <c r="I35" i="6"/>
  <c r="H35" i="6"/>
  <c r="G35" i="6"/>
  <c r="F35" i="6"/>
  <c r="E35" i="6"/>
  <c r="D35" i="6"/>
  <c r="C35" i="6"/>
  <c r="N33" i="6"/>
  <c r="M33" i="6"/>
  <c r="L33" i="6"/>
  <c r="K33" i="6"/>
  <c r="J33" i="6"/>
  <c r="I33" i="6"/>
  <c r="H33" i="6"/>
  <c r="G33" i="6"/>
  <c r="F33" i="6"/>
  <c r="E33" i="6"/>
  <c r="D33" i="6"/>
  <c r="C33" i="6"/>
  <c r="H31" i="6"/>
  <c r="G31" i="6"/>
  <c r="D31" i="6"/>
  <c r="C31" i="6"/>
  <c r="N29" i="6"/>
  <c r="M29" i="6"/>
  <c r="L29" i="6"/>
  <c r="K29" i="6"/>
  <c r="J29" i="6"/>
  <c r="I29" i="6"/>
  <c r="H29" i="6"/>
  <c r="G29" i="6"/>
  <c r="F29" i="6"/>
  <c r="E29" i="6"/>
  <c r="D29" i="6"/>
  <c r="M28" i="6"/>
  <c r="L28" i="6"/>
  <c r="K28" i="6"/>
  <c r="J28" i="6"/>
  <c r="I28" i="6"/>
  <c r="H28" i="6"/>
  <c r="G28" i="6"/>
  <c r="F28" i="6"/>
  <c r="E28" i="6"/>
  <c r="N26" i="6"/>
  <c r="M26" i="6"/>
  <c r="L26" i="6"/>
  <c r="K26" i="6"/>
  <c r="J26" i="6"/>
  <c r="I26" i="6"/>
  <c r="H26" i="6"/>
  <c r="G26" i="6"/>
  <c r="E26" i="6"/>
  <c r="D26" i="6"/>
  <c r="C26" i="6"/>
  <c r="N25" i="6"/>
  <c r="M25" i="6"/>
  <c r="L25" i="6"/>
  <c r="K25" i="6"/>
  <c r="J25" i="6"/>
  <c r="I25" i="6"/>
  <c r="H25" i="6"/>
  <c r="D25" i="6"/>
  <c r="C25" i="6"/>
  <c r="N24" i="6"/>
  <c r="M24" i="6"/>
  <c r="L24" i="6"/>
  <c r="K24" i="6"/>
  <c r="J24" i="6"/>
  <c r="I24" i="6"/>
  <c r="H24" i="6"/>
  <c r="G24" i="6"/>
  <c r="F24" i="6"/>
  <c r="E24" i="6"/>
  <c r="D24" i="6"/>
  <c r="C24" i="6"/>
  <c r="G23" i="6"/>
  <c r="N21" i="6"/>
  <c r="M21" i="6"/>
  <c r="L21" i="6"/>
  <c r="K21" i="6"/>
  <c r="J21" i="6"/>
  <c r="I21" i="6"/>
  <c r="H21" i="6"/>
  <c r="G21" i="6"/>
  <c r="I20" i="6"/>
  <c r="H20" i="6"/>
  <c r="G20" i="6"/>
  <c r="M19" i="6"/>
  <c r="L19" i="6"/>
  <c r="K19" i="6"/>
  <c r="J19" i="6"/>
  <c r="I19" i="6"/>
  <c r="H19" i="6"/>
  <c r="G19" i="6"/>
  <c r="F19" i="6"/>
  <c r="E19" i="6"/>
  <c r="D19" i="6"/>
  <c r="M17" i="6"/>
  <c r="L17" i="6"/>
  <c r="K17" i="6"/>
  <c r="J17" i="6"/>
  <c r="D17" i="6"/>
  <c r="E16" i="6"/>
  <c r="D16" i="6"/>
  <c r="M15" i="6"/>
  <c r="L15" i="6"/>
  <c r="K15" i="6"/>
  <c r="J15" i="6"/>
  <c r="I15" i="6"/>
  <c r="H15" i="6"/>
  <c r="G15" i="6"/>
  <c r="F15" i="6"/>
  <c r="E15" i="6"/>
  <c r="D15" i="6"/>
  <c r="C15" i="6"/>
  <c r="B15" i="6"/>
  <c r="M13" i="6"/>
  <c r="L13" i="6"/>
  <c r="K13" i="6"/>
  <c r="J13" i="6"/>
  <c r="I13" i="6"/>
  <c r="H13" i="6"/>
  <c r="G13" i="6"/>
  <c r="K12" i="6"/>
  <c r="J12" i="6"/>
  <c r="I12" i="6"/>
  <c r="H12" i="6"/>
  <c r="F11" i="6"/>
  <c r="E11" i="6"/>
  <c r="D11" i="6"/>
  <c r="C11" i="6"/>
  <c r="M10" i="6"/>
  <c r="L10" i="6"/>
  <c r="K10" i="6"/>
  <c r="J10" i="6"/>
  <c r="I10" i="6"/>
  <c r="H10" i="6"/>
  <c r="G10" i="6"/>
  <c r="E8" i="6"/>
  <c r="M5" i="6"/>
  <c r="L5" i="6"/>
  <c r="K5" i="6"/>
  <c r="J5" i="6"/>
  <c r="I5" i="6"/>
  <c r="H5" i="6"/>
  <c r="G5" i="6"/>
  <c r="F5" i="6"/>
  <c r="E5" i="6"/>
  <c r="D5" i="6"/>
  <c r="C5" i="6"/>
  <c r="N4" i="6"/>
  <c r="M4" i="6"/>
  <c r="M3" i="6"/>
  <c r="L3" i="6"/>
  <c r="K3" i="6"/>
  <c r="J3" i="6"/>
  <c r="I3" i="6"/>
  <c r="H3" i="6"/>
  <c r="M2" i="6"/>
  <c r="L2" i="6"/>
  <c r="K2" i="6"/>
  <c r="J2" i="6"/>
  <c r="I2" i="6"/>
  <c r="H2" i="6"/>
  <c r="G2" i="6"/>
  <c r="F2" i="6"/>
  <c r="E2" i="6"/>
  <c r="D2" i="6"/>
  <c r="C2" i="6"/>
  <c r="C39" i="4"/>
  <c r="D39" i="4" s="1"/>
  <c r="E39" i="4" s="1"/>
  <c r="F39" i="4" s="1"/>
  <c r="G39" i="4" s="1"/>
  <c r="H39" i="4" s="1"/>
  <c r="I39" i="4" s="1"/>
  <c r="J39" i="4" s="1"/>
  <c r="K39" i="4" s="1"/>
  <c r="L39" i="4" s="1"/>
  <c r="M39" i="4" s="1"/>
  <c r="N39" i="4" s="1"/>
  <c r="C1" i="4"/>
  <c r="D1" i="4" s="1"/>
  <c r="E1" i="4" s="1"/>
  <c r="F1" i="4" s="1"/>
  <c r="G1" i="4" s="1"/>
  <c r="H1" i="4" s="1"/>
  <c r="I1" i="4" s="1"/>
  <c r="J1" i="4" s="1"/>
  <c r="K1" i="4" s="1"/>
  <c r="L1" i="4" s="1"/>
  <c r="M1" i="4" s="1"/>
  <c r="N1" i="4" s="1"/>
  <c r="C39" i="5"/>
  <c r="D39" i="5" s="1"/>
  <c r="E39" i="5" s="1"/>
  <c r="F39" i="5" s="1"/>
  <c r="G39" i="5" s="1"/>
  <c r="H39" i="5" s="1"/>
  <c r="I39" i="5" s="1"/>
  <c r="J39" i="5" s="1"/>
  <c r="K39" i="5" s="1"/>
  <c r="L39" i="5" s="1"/>
  <c r="M39" i="5" s="1"/>
  <c r="N39" i="5" s="1"/>
  <c r="C1" i="5"/>
  <c r="D1" i="5" s="1"/>
  <c r="E1" i="5" s="1"/>
  <c r="F1" i="5" s="1"/>
  <c r="G1" i="5" s="1"/>
  <c r="H1" i="5" s="1"/>
  <c r="I1" i="5" s="1"/>
  <c r="J1" i="5" s="1"/>
  <c r="K1" i="5" s="1"/>
  <c r="L1" i="5" s="1"/>
  <c r="M1" i="5" s="1"/>
  <c r="N1" i="5" s="1"/>
  <c r="C39" i="3"/>
  <c r="D39" i="3" s="1"/>
  <c r="E39" i="3" s="1"/>
  <c r="F39" i="3" s="1"/>
  <c r="G39" i="3" s="1"/>
  <c r="H39" i="3" s="1"/>
  <c r="I39" i="3" s="1"/>
  <c r="J39" i="3" s="1"/>
  <c r="K39" i="3" s="1"/>
  <c r="L39" i="3" s="1"/>
  <c r="M39" i="3" s="1"/>
  <c r="N39" i="3" s="1"/>
  <c r="C1" i="3"/>
  <c r="D1" i="3" s="1"/>
  <c r="E1" i="3" s="1"/>
  <c r="F1" i="3" s="1"/>
  <c r="G1" i="3" s="1"/>
  <c r="H1" i="3" s="1"/>
  <c r="I1" i="3" s="1"/>
  <c r="J1" i="3" s="1"/>
  <c r="K1" i="3" s="1"/>
  <c r="L1" i="3" s="1"/>
  <c r="M1" i="3" s="1"/>
  <c r="N1" i="3" s="1"/>
  <c r="E41" i="9"/>
  <c r="F41" i="9" s="1"/>
  <c r="G41" i="9" s="1"/>
  <c r="H41" i="9" s="1"/>
  <c r="I41" i="9" s="1"/>
  <c r="J41" i="9" s="1"/>
  <c r="K41" i="9" s="1"/>
  <c r="L41" i="9" s="1"/>
  <c r="M41" i="9" s="1"/>
  <c r="N41" i="9" s="1"/>
  <c r="D41" i="9"/>
  <c r="O39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D3" i="9"/>
  <c r="E3" i="9" s="1"/>
  <c r="F3" i="9" s="1"/>
  <c r="G3" i="9" s="1"/>
  <c r="H3" i="9" s="1"/>
  <c r="I3" i="9" s="1"/>
  <c r="J3" i="9" s="1"/>
  <c r="K3" i="9" s="1"/>
  <c r="L3" i="9" s="1"/>
  <c r="M3" i="9" s="1"/>
  <c r="N3" i="9" s="1"/>
  <c r="E39" i="7"/>
  <c r="F39" i="7" s="1"/>
  <c r="G39" i="7" s="1"/>
  <c r="H39" i="7" s="1"/>
  <c r="I39" i="7" s="1"/>
  <c r="J39" i="7" s="1"/>
  <c r="K39" i="7" s="1"/>
  <c r="L39" i="7" s="1"/>
  <c r="M39" i="7" s="1"/>
  <c r="N39" i="7" s="1"/>
  <c r="D39" i="7"/>
  <c r="A15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2" i="2"/>
  <c r="O37" i="4"/>
  <c r="O37" i="3"/>
  <c r="O37" i="7"/>
  <c r="O37" i="5"/>
  <c r="O37" i="6"/>
  <c r="E28" i="7"/>
  <c r="A3" i="3"/>
  <c r="A4" i="3"/>
  <c r="A5" i="3"/>
  <c r="A6" i="3"/>
  <c r="A7" i="3"/>
  <c r="A8" i="3"/>
  <c r="A9" i="3"/>
  <c r="A10" i="3"/>
  <c r="A11" i="3"/>
  <c r="A12" i="3"/>
  <c r="A13" i="3"/>
  <c r="A14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2" i="3"/>
  <c r="L13" i="7"/>
  <c r="K13" i="7"/>
  <c r="D1" i="7"/>
  <c r="E1" i="7" s="1"/>
  <c r="F1" i="7" s="1"/>
  <c r="G1" i="7" s="1"/>
  <c r="H1" i="7" s="1"/>
  <c r="I1" i="7" s="1"/>
  <c r="J1" i="7" s="1"/>
  <c r="K1" i="7" s="1"/>
  <c r="L1" i="7" s="1"/>
  <c r="M1" i="7" s="1"/>
  <c r="N1" i="7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F34" i="5" l="1"/>
  <c r="K35" i="2"/>
  <c r="H36" i="2"/>
  <c r="K28" i="2"/>
  <c r="G36" i="2"/>
  <c r="F36" i="2"/>
  <c r="K25" i="2"/>
  <c r="K15" i="2"/>
  <c r="K5" i="2"/>
  <c r="K27" i="2"/>
  <c r="K34" i="2"/>
  <c r="K24" i="2"/>
  <c r="K14" i="2"/>
  <c r="K4" i="2"/>
  <c r="I36" i="2"/>
  <c r="K2" i="2"/>
  <c r="K26" i="2"/>
  <c r="K16" i="2"/>
  <c r="K6" i="2"/>
  <c r="K18" i="2"/>
  <c r="K33" i="2"/>
  <c r="K3" i="2"/>
  <c r="K8" i="2"/>
  <c r="K7" i="2"/>
  <c r="K23" i="2"/>
  <c r="K13" i="2"/>
  <c r="K17" i="2"/>
  <c r="J36" i="2"/>
  <c r="K32" i="2"/>
  <c r="K22" i="2"/>
  <c r="K12" i="2"/>
  <c r="K31" i="2"/>
  <c r="K21" i="2"/>
  <c r="K11" i="2"/>
  <c r="K30" i="2"/>
  <c r="K20" i="2"/>
  <c r="K10" i="2"/>
  <c r="K29" i="2"/>
  <c r="K19" i="2"/>
  <c r="K9" i="2"/>
  <c r="K39" i="2" l="1"/>
  <c r="K40" i="2"/>
  <c r="K41" i="2"/>
  <c r="K38" i="2"/>
  <c r="K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Koro Bu</author>
  </authors>
  <commentList>
    <comment ref="N3" authorId="0" shapeId="0" xr:uid="{EFD768E1-D23C-EC4D-AE8F-DF68ECD5917E}">
      <text>
        <r>
          <rPr>
            <b/>
            <sz val="10"/>
            <color rgb="FF000000"/>
            <rFont val="Tahoma"/>
            <family val="2"/>
          </rPr>
          <t>Koro Bu: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Havent published yet</t>
        </r>
      </text>
    </comment>
    <comment ref="N4" authorId="0" shapeId="0" xr:uid="{667370F8-FFE3-914D-A124-6457B0B49CB8}">
      <text>
        <r>
          <rPr>
            <b/>
            <sz val="10"/>
            <color rgb="FF000000"/>
            <rFont val="Tahoma"/>
            <family val="2"/>
          </rPr>
          <t>Koro Bu: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Abridged report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Koro Bu</author>
  </authors>
  <commentList>
    <comment ref="B2" authorId="0" shapeId="0" xr:uid="{D0464B6B-DEE8-D640-9030-2EA54E6AA3B2}">
      <text>
        <r>
          <rPr>
            <b/>
            <sz val="10"/>
            <color rgb="FF000000"/>
            <rFont val="Tahoma"/>
            <family val="2"/>
          </rPr>
          <t>Koro Bu: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They sold their assets here</t>
        </r>
      </text>
    </comment>
    <comment ref="G3" authorId="0" shapeId="0" xr:uid="{3438FCE6-95B5-DD48-83C5-D17034FFF8F7}">
      <text>
        <r>
          <rPr>
            <b/>
            <sz val="10"/>
            <color rgb="FF000000"/>
            <rFont val="Tahoma"/>
            <family val="2"/>
          </rPr>
          <t>Koro Bu: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Cash flow sheet was missing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Koro Bu</author>
  </authors>
  <commentList>
    <comment ref="B2" authorId="0" shapeId="0" xr:uid="{3700EAFA-DE80-7A40-9ACB-78FF346E401A}">
      <text>
        <r>
          <rPr>
            <b/>
            <sz val="10"/>
            <color rgb="FF000000"/>
            <rFont val="Tahoma"/>
            <family val="2"/>
          </rPr>
          <t>Koro Bu: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HTML file, could not open attachments</t>
        </r>
      </text>
    </comment>
    <comment ref="N2" authorId="0" shapeId="0" xr:uid="{B1709E9C-102C-2644-AF25-A0991A3272D0}">
      <text>
        <r>
          <rPr>
            <b/>
            <sz val="10"/>
            <color rgb="FF000000"/>
            <rFont val="Tahoma"/>
            <family val="2"/>
          </rPr>
          <t>Koro Bu: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>Production costs + Selling expenses + Administrative expenses + social security expenses</t>
        </r>
      </text>
    </comment>
    <comment ref="B3" authorId="0" shapeId="0" xr:uid="{26281502-8FD2-8640-B1C7-F558C2849740}">
      <text>
        <r>
          <rPr>
            <b/>
            <sz val="10"/>
            <color rgb="FF000000"/>
            <rFont val="Tahoma"/>
            <family val="2"/>
          </rPr>
          <t>Koro Bu: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Same</t>
        </r>
      </text>
    </comment>
    <comment ref="F4" authorId="0" shapeId="0" xr:uid="{23CB670D-D1BA-6E4A-A540-71CA7A382B48}">
      <text>
        <r>
          <rPr>
            <b/>
            <sz val="10"/>
            <color rgb="FF000000"/>
            <rFont val="Tahoma"/>
            <family val="2"/>
          </rPr>
          <t>Koro Bu: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cash flow sheet</t>
        </r>
      </text>
    </comment>
    <comment ref="B6" authorId="0" shapeId="0" xr:uid="{C74294C7-616D-BD46-9B69-CD7BFD25359A}">
      <text>
        <r>
          <rPr>
            <b/>
            <sz val="10"/>
            <color rgb="FF000000"/>
            <rFont val="Tahoma"/>
            <family val="2"/>
          </rPr>
          <t>Koro Bu: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They have not existed yet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Koro Bu</author>
  </authors>
  <commentList>
    <comment ref="B5" authorId="0" shapeId="0" xr:uid="{8EF1599B-AA75-DC47-A70C-9C31210AD153}">
      <text>
        <r>
          <rPr>
            <b/>
            <sz val="10"/>
            <color rgb="FF000000"/>
            <rFont val="Tahoma"/>
            <family val="2"/>
          </rPr>
          <t>Koro Bu: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Havent published yet</t>
        </r>
      </text>
    </comment>
    <comment ref="B6" authorId="0" shapeId="0" xr:uid="{1043B096-D265-4D46-B91A-09384822F69F}">
      <text>
        <r>
          <rPr>
            <b/>
            <sz val="10"/>
            <color rgb="FF000000"/>
            <rFont val="Tahoma"/>
            <family val="2"/>
          </rPr>
          <t>Koro Bu: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Abridged report</t>
        </r>
      </text>
    </comment>
  </commentList>
</comments>
</file>

<file path=xl/sharedStrings.xml><?xml version="1.0" encoding="utf-8"?>
<sst xmlns="http://schemas.openxmlformats.org/spreadsheetml/2006/main" count="3040" uniqueCount="366">
  <si>
    <t>﻿Country</t>
  </si>
  <si>
    <t>Another Beneficiary Member State</t>
  </si>
  <si>
    <t>Aid Measure Title</t>
  </si>
  <si>
    <t>Aid Measure Title [EN]</t>
  </si>
  <si>
    <t>SA.Number</t>
  </si>
  <si>
    <t>Ref-no.</t>
  </si>
  <si>
    <t>National ID</t>
  </si>
  <si>
    <t>Name of the beneficiary</t>
  </si>
  <si>
    <t>Name of the beneficiary [EN]</t>
  </si>
  <si>
    <t>Beneficiary Type</t>
  </si>
  <si>
    <t>Region</t>
  </si>
  <si>
    <t>Sector (NACE)</t>
  </si>
  <si>
    <t>Aid Instrument</t>
  </si>
  <si>
    <t>Objectives of the Aid</t>
  </si>
  <si>
    <t>Aid element, expressed as full amount</t>
  </si>
  <si>
    <t>Currency</t>
  </si>
  <si>
    <t>Date of granting</t>
  </si>
  <si>
    <t>Granting Authority Name</t>
  </si>
  <si>
    <t>Granting Authority Name [EN]</t>
  </si>
  <si>
    <t>Published Date</t>
  </si>
  <si>
    <t>Latvia</t>
  </si>
  <si>
    <t>Atbalsts ieguldījumiem ražošanas telpu un infrastruktūras izveidei vai rekonstrukcijai</t>
  </si>
  <si>
    <t>Aid for investments for the construction or reconstruction of industrial premises and infrastructure</t>
  </si>
  <si>
    <t>SA.45422</t>
  </si>
  <si>
    <t>TM-10210717</t>
  </si>
  <si>
    <t>40002512521</t>
  </si>
  <si>
    <t>texmex</t>
  </si>
  <si>
    <t>Small and medium-sized entreprises</t>
  </si>
  <si>
    <t>LATVIJA</t>
  </si>
  <si>
    <t>Publishing of books, periodicals and other publishing activities</t>
  </si>
  <si>
    <t>Direct grant/ Interest rate subsidy</t>
  </si>
  <si>
    <t/>
  </si>
  <si>
    <t>Regional aid - investment aid (Art. 14) - Scheme</t>
  </si>
  <si>
    <t>100000</t>
  </si>
  <si>
    <t>EUR</t>
  </si>
  <si>
    <t>Ekonomikas ministrija</t>
  </si>
  <si>
    <t>Ministry of Economy</t>
  </si>
  <si>
    <t>TM-10269934</t>
  </si>
  <si>
    <t>40203187993</t>
  </si>
  <si>
    <t>ICS Property</t>
  </si>
  <si>
    <t>Latvija</t>
  </si>
  <si>
    <t>Rental and operating of own or leased real estate</t>
  </si>
  <si>
    <t>1500000</t>
  </si>
  <si>
    <t>Centrālā finanšu un līgumu aģentūra</t>
  </si>
  <si>
    <t>Central Finance and Contracting Agency</t>
  </si>
  <si>
    <t>TM-10200373</t>
  </si>
  <si>
    <t>53603061521</t>
  </si>
  <si>
    <t>Haugaard Baltic</t>
  </si>
  <si>
    <t>Manufacture of metal structures and parts of structures</t>
  </si>
  <si>
    <t>1499692.63</t>
  </si>
  <si>
    <t>TM-10200375</t>
  </si>
  <si>
    <t>40103458755</t>
  </si>
  <si>
    <t>IKTK</t>
  </si>
  <si>
    <t>ICTK</t>
  </si>
  <si>
    <t>Manufacture of other builders' carpentry and joinery</t>
  </si>
  <si>
    <t>1123519.78</t>
  </si>
  <si>
    <t>TM-10200377</t>
  </si>
  <si>
    <t>40003352878</t>
  </si>
  <si>
    <t>Scan-Plast Latvia</t>
  </si>
  <si>
    <t>Manufacture of other plastic products</t>
  </si>
  <si>
    <t>1365377.51</t>
  </si>
  <si>
    <t>TM-10269935</t>
  </si>
  <si>
    <t>40103590897</t>
  </si>
  <si>
    <t>VIZULO</t>
  </si>
  <si>
    <t>MR VIZULO</t>
  </si>
  <si>
    <t>Manufacture of electric lighting equipment</t>
  </si>
  <si>
    <t>1096914.58</t>
  </si>
  <si>
    <t>TM-10269924</t>
  </si>
  <si>
    <t>43603009384</t>
  </si>
  <si>
    <t>JELGAVAS TIPOGRĀFIJA</t>
  </si>
  <si>
    <t>JELGAVA PRINTING OFFICE</t>
  </si>
  <si>
    <t>Other printing</t>
  </si>
  <si>
    <t>1324810</t>
  </si>
  <si>
    <t>TM-10171220</t>
  </si>
  <si>
    <t>45403003160</t>
  </si>
  <si>
    <t>JĒKABPILS PMK</t>
  </si>
  <si>
    <t>JĒKABPILS PNK</t>
  </si>
  <si>
    <t>Construction of residential and non-residential buildings</t>
  </si>
  <si>
    <t>735300</t>
  </si>
  <si>
    <t>TM-10171221</t>
  </si>
  <si>
    <t>40203021261</t>
  </si>
  <si>
    <t>AmberBirch</t>
  </si>
  <si>
    <t>Manufacture of veneer sheets and wood-based panels</t>
  </si>
  <si>
    <t>TM-10182047</t>
  </si>
  <si>
    <t>40003752458</t>
  </si>
  <si>
    <t>VALMIERMUIŽAS ALUS</t>
  </si>
  <si>
    <t>VALMIERMUNIIC BEER</t>
  </si>
  <si>
    <t>Manufacture of beer</t>
  </si>
  <si>
    <t>1307155</t>
  </si>
  <si>
    <t>TM-10200369</t>
  </si>
  <si>
    <t>40003194846</t>
  </si>
  <si>
    <t>Stiga RM</t>
  </si>
  <si>
    <t>681252.32</t>
  </si>
  <si>
    <t>TM-10182088</t>
  </si>
  <si>
    <t>45403042702</t>
  </si>
  <si>
    <t>CEWOOD</t>
  </si>
  <si>
    <t>Manufacture of fibre cement</t>
  </si>
  <si>
    <t>1124985.15</t>
  </si>
  <si>
    <t>TM-10182086</t>
  </si>
  <si>
    <t>42103021136</t>
  </si>
  <si>
    <t>PUMAC LIEPAJA</t>
  </si>
  <si>
    <t>PUMAC LAYER</t>
  </si>
  <si>
    <t>TM-10182089</t>
  </si>
  <si>
    <t>54103005451</t>
  </si>
  <si>
    <t>VUDLANDE</t>
  </si>
  <si>
    <t>﻿VUDLANDE</t>
  </si>
  <si>
    <t>Sawmilling and planing of wood</t>
  </si>
  <si>
    <t>919509.28</t>
  </si>
  <si>
    <t>TM-10182090</t>
  </si>
  <si>
    <t>40103299681</t>
  </si>
  <si>
    <t>Artex Latvia</t>
  </si>
  <si>
    <t>Manufacture of made-up textile articles, except apparel</t>
  </si>
  <si>
    <t>769624.54</t>
  </si>
  <si>
    <t>TM-10195039</t>
  </si>
  <si>
    <t>40203126471</t>
  </si>
  <si>
    <t>EB Liepāja</t>
  </si>
  <si>
    <t>1496287.41</t>
  </si>
  <si>
    <t>TM-10195045</t>
  </si>
  <si>
    <t>40103318408</t>
  </si>
  <si>
    <t>SFM Latvia</t>
  </si>
  <si>
    <t>1175655.96</t>
  </si>
  <si>
    <t>TM-10001476</t>
  </si>
  <si>
    <t>50003428031</t>
  </si>
  <si>
    <t>Mārupes Metālmeistars</t>
  </si>
  <si>
    <t>Marupes metālmeistars</t>
  </si>
  <si>
    <t>Manufacture of other fabricated metal products n.e.c.</t>
  </si>
  <si>
    <t>799480.74</t>
  </si>
  <si>
    <t>TM-10001481</t>
  </si>
  <si>
    <t>50103186141</t>
  </si>
  <si>
    <t>TECNOPALI NORTH EUROPE</t>
  </si>
  <si>
    <t>833058.47</t>
  </si>
  <si>
    <t>TM-10001480</t>
  </si>
  <si>
    <t>40003294211</t>
  </si>
  <si>
    <t>Tukuma Piens</t>
  </si>
  <si>
    <t>Tukums Milk</t>
  </si>
  <si>
    <t>Operation of dairies and cheese making</t>
  </si>
  <si>
    <t>964778.3</t>
  </si>
  <si>
    <t>TM-10001470</t>
  </si>
  <si>
    <t>42103073886</t>
  </si>
  <si>
    <t>Vecās Ostmalas Biznesa Parks</t>
  </si>
  <si>
    <t>Old Ostmalas Business Parks</t>
  </si>
  <si>
    <t>582594.57</t>
  </si>
  <si>
    <t>TM-10001472</t>
  </si>
  <si>
    <t>90000284085</t>
  </si>
  <si>
    <t>Ventspils Brīvostas pārvalde</t>
  </si>
  <si>
    <t>Ventspils Free Port Authority</t>
  </si>
  <si>
    <t>Only large enterprises</t>
  </si>
  <si>
    <t>Service activities incidental to water transportation</t>
  </si>
  <si>
    <t>1165802.83</t>
  </si>
  <si>
    <t>TM-10065262</t>
  </si>
  <si>
    <t>42103060434</t>
  </si>
  <si>
    <t>NPK Expert</t>
  </si>
  <si>
    <t>Kurzeme</t>
  </si>
  <si>
    <t>Manufacture of fertilisers and nitrogen compounds</t>
  </si>
  <si>
    <t>627697</t>
  </si>
  <si>
    <t>TM-10065234</t>
  </si>
  <si>
    <t>1165839.59</t>
  </si>
  <si>
    <t>TM-10065240</t>
  </si>
  <si>
    <t>40203006027</t>
  </si>
  <si>
    <t>GP TEHNOPARKI</t>
  </si>
  <si>
    <t>Pierīga</t>
  </si>
  <si>
    <t>1146555.6</t>
  </si>
  <si>
    <t>TM-10065241</t>
  </si>
  <si>
    <t>40103748266</t>
  </si>
  <si>
    <t>NTC INVESTĪCIJAS</t>
  </si>
  <si>
    <t>THE NTC INVESTMENT</t>
  </si>
  <si>
    <t>Vidzeme</t>
  </si>
  <si>
    <t>628631.66</t>
  </si>
  <si>
    <t>TM-10065263</t>
  </si>
  <si>
    <t>42103057947</t>
  </si>
  <si>
    <t>iCotton</t>
  </si>
  <si>
    <t>Preparation and spinning of textile fibres</t>
  </si>
  <si>
    <t>1142633.01</t>
  </si>
  <si>
    <t>TM-10065266</t>
  </si>
  <si>
    <t>40003822806</t>
  </si>
  <si>
    <t>Lyngson</t>
  </si>
  <si>
    <t>Manufacture of central heating radiators and boilers</t>
  </si>
  <si>
    <t>798750</t>
  </si>
  <si>
    <t>TM-10065236</t>
  </si>
  <si>
    <t>1165752.18</t>
  </si>
  <si>
    <t>TM-10065239</t>
  </si>
  <si>
    <t>45103000023</t>
  </si>
  <si>
    <t>TENAX</t>
  </si>
  <si>
    <t>Zemgale</t>
  </si>
  <si>
    <t>1166000</t>
  </si>
  <si>
    <t>TM-10065261</t>
  </si>
  <si>
    <t>Piebalgas</t>
  </si>
  <si>
    <t>512510</t>
  </si>
  <si>
    <t>TM-10065264</t>
  </si>
  <si>
    <t>40003919987</t>
  </si>
  <si>
    <t>EcoLead</t>
  </si>
  <si>
    <t>Lead, zinc and tin production</t>
  </si>
  <si>
    <t>560700</t>
  </si>
  <si>
    <t>TM-10065265</t>
  </si>
  <si>
    <t>40003479924</t>
  </si>
  <si>
    <t>Kronus</t>
  </si>
  <si>
    <t>Manufacture of wooden containers</t>
  </si>
  <si>
    <t>810306</t>
  </si>
  <si>
    <t>TM-10080807</t>
  </si>
  <si>
    <t>40103702152</t>
  </si>
  <si>
    <t>Carbon energy systems</t>
  </si>
  <si>
    <t>Manufacture of other organic basic chemicals</t>
  </si>
  <si>
    <t>623040.77</t>
  </si>
  <si>
    <t>TM-10001479</t>
  </si>
  <si>
    <t>40203003707</t>
  </si>
  <si>
    <t>TRAPI</t>
  </si>
  <si>
    <t>LADDERS</t>
  </si>
  <si>
    <t>TM-10065238</t>
  </si>
  <si>
    <t>40103563278</t>
  </si>
  <si>
    <t>IT INTERNATIONAL</t>
  </si>
  <si>
    <t>IN INTERNATIONAL</t>
  </si>
  <si>
    <t>Latgale</t>
  </si>
  <si>
    <t>681010.03</t>
  </si>
  <si>
    <t>ID</t>
  </si>
  <si>
    <t>Name</t>
  </si>
  <si>
    <t>Website</t>
  </si>
  <si>
    <t>https://www.metalmaster.lv/eng</t>
  </si>
  <si>
    <t>https://www.tecnopali.lv/</t>
  </si>
  <si>
    <t>https://www.portofventspils.lv/lv/brivostas-parvalde/</t>
  </si>
  <si>
    <t>Employees</t>
  </si>
  <si>
    <t>https://baltais.lv/?lang=en</t>
  </si>
  <si>
    <t>https://vobp.lv/</t>
  </si>
  <si>
    <t>NA</t>
  </si>
  <si>
    <t>https://tenaxpanel.lv/lv/</t>
  </si>
  <si>
    <t>Notes</t>
  </si>
  <si>
    <t>-</t>
  </si>
  <si>
    <t>https://company.lursoft.lv/en/international-it-latvia/41503088322</t>
  </si>
  <si>
    <t>https://lyngson.lv/</t>
  </si>
  <si>
    <t>https://www.icotton.eu/</t>
  </si>
  <si>
    <t>https://www.piebalgas.lv/</t>
  </si>
  <si>
    <t>https://www.kronus.eu/lv/</t>
  </si>
  <si>
    <t>https://www.npkexpert.com/</t>
  </si>
  <si>
    <t>https://ecolead.lv/lv/</t>
  </si>
  <si>
    <t>https://jpmk.lv/</t>
  </si>
  <si>
    <t>https://amberbirch.lv/</t>
  </si>
  <si>
    <t>https://valmiermuiza.lv/</t>
  </si>
  <si>
    <t>https://www.cewood.com/lv</t>
  </si>
  <si>
    <t>https://www.vudlande.lv/</t>
  </si>
  <si>
    <t>https://www.artex.se/smiltene-latvia</t>
  </si>
  <si>
    <t>https://sfm.lv/</t>
  </si>
  <si>
    <t>https://stigarm.lv/lv/</t>
  </si>
  <si>
    <t>https://www.haugaard.eu/</t>
  </si>
  <si>
    <t>https://zazatimber.lv/</t>
  </si>
  <si>
    <t>https://www.scan-plast.com/lv/</t>
  </si>
  <si>
    <t>Either someone fucked up the registry or we have texmex publishing company</t>
  </si>
  <si>
    <t>https://www.icsproperty.lv/</t>
  </si>
  <si>
    <t>https://www.vizulo.com/en</t>
  </si>
  <si>
    <t>zemesgabali, ēkas un inženierbūves</t>
  </si>
  <si>
    <t>Neto apgrozījums</t>
  </si>
  <si>
    <t>Wages (with social ins)</t>
  </si>
  <si>
    <t>Pamatlīdzekļu un nemateriālo ieguldījumu iegāde</t>
  </si>
  <si>
    <t>Reports zero employees</t>
  </si>
  <si>
    <t>No employee numbers in 2017-2013</t>
  </si>
  <si>
    <t>Almost no employees</t>
  </si>
  <si>
    <t>Collapsed and went bankrupt in late 2019</t>
  </si>
  <si>
    <t>I need 2020 (for year 2019) pieskats because they must have the salary numbers</t>
  </si>
  <si>
    <t>Missing wages in 2017</t>
  </si>
  <si>
    <t>Liquidated, was a subsidiary of the STATS Group</t>
  </si>
  <si>
    <t>Operates at a loss, moved to a new factory in 2023-24</t>
  </si>
  <si>
    <t>This is either a type or some scheme idk, also it is the only one granted by the ministry of economics</t>
  </si>
  <si>
    <t xml:space="preserve"> NA </t>
  </si>
  <si>
    <t>https://jt.lv/en/digital-printing/</t>
  </si>
  <si>
    <t>DATA FIT</t>
  </si>
  <si>
    <t>Yes</t>
  </si>
  <si>
    <t>No</t>
  </si>
  <si>
    <t>IDK</t>
  </si>
  <si>
    <t>Liquidated</t>
  </si>
  <si>
    <t>0 employee company</t>
  </si>
  <si>
    <t>Jump from zero</t>
  </si>
  <si>
    <t>Company was only founded in 2014</t>
  </si>
  <si>
    <t>Supposedly zero assets</t>
  </si>
  <si>
    <t>Just started this company, might get eschezed results</t>
  </si>
  <si>
    <t>Zero sales</t>
  </si>
  <si>
    <t>Total passing</t>
  </si>
  <si>
    <t xml:space="preserve"> Total passing </t>
  </si>
  <si>
    <t>Tangible assets</t>
  </si>
  <si>
    <t>Yearly sales</t>
  </si>
  <si>
    <t>Investment</t>
  </si>
  <si>
    <t>Wages</t>
  </si>
  <si>
    <t>Total available</t>
  </si>
  <si>
    <t>Totals</t>
  </si>
  <si>
    <t>5 out of 5</t>
  </si>
  <si>
    <t>4 out of 5</t>
  </si>
  <si>
    <t>3 out of 5</t>
  </si>
  <si>
    <t>2 out of 5</t>
  </si>
  <si>
    <t>1 out of 5</t>
  </si>
  <si>
    <t>Total</t>
  </si>
  <si>
    <t>Nace code</t>
  </si>
  <si>
    <t>NACE</t>
  </si>
  <si>
    <t>46.13 or 16.11</t>
  </si>
  <si>
    <t>16.24 or 16.12</t>
  </si>
  <si>
    <t>23.65 or 16.10 or 23.65</t>
  </si>
  <si>
    <t>68.2 or  41</t>
  </si>
  <si>
    <t xml:space="preserve"> 16.21 or 2.2</t>
  </si>
  <si>
    <t>42.13 or 16.28</t>
  </si>
  <si>
    <t>Emlpoyees NR</t>
  </si>
  <si>
    <t>AMATEKS</t>
  </si>
  <si>
    <t>BELMAST</t>
  </si>
  <si>
    <t>Latvijas maiznieks</t>
  </si>
  <si>
    <t>LES TRANS</t>
  </si>
  <si>
    <t>CompositeLine</t>
  </si>
  <si>
    <t>AS BIOLARS</t>
  </si>
  <si>
    <t>RK Metāls</t>
  </si>
  <si>
    <t>RK METALS</t>
  </si>
  <si>
    <t>VEKTRA-21</t>
  </si>
  <si>
    <t>Gaujas Koks</t>
  </si>
  <si>
    <t>Gaujas koks</t>
  </si>
  <si>
    <t>PLUTOS SELL</t>
  </si>
  <si>
    <t>Baltic new technologies</t>
  </si>
  <si>
    <t>AIMASA</t>
  </si>
  <si>
    <t>Started operating in 2018 only</t>
  </si>
  <si>
    <t>Bauskas alus</t>
  </si>
  <si>
    <t>Lion Estate</t>
  </si>
  <si>
    <t>LODE</t>
  </si>
  <si>
    <t>LODE SIA</t>
  </si>
  <si>
    <t>GBM</t>
  </si>
  <si>
    <t>Lauma fabrics</t>
  </si>
  <si>
    <t>Lauma Fabrics</t>
  </si>
  <si>
    <t>LATSTAB, RSEZ</t>
  </si>
  <si>
    <t>Rettenmeier Baltic Timber</t>
  </si>
  <si>
    <t>HOPPEKIDS</t>
  </si>
  <si>
    <t>CEĻINIEKS 2010</t>
  </si>
  <si>
    <t>Celinieks</t>
  </si>
  <si>
    <t>Immer Digital</t>
  </si>
  <si>
    <t>PNB Print</t>
  </si>
  <si>
    <t>SIA MMG Group</t>
  </si>
  <si>
    <t>FIND ANOTHER</t>
  </si>
  <si>
    <t>FIND REPLACEMENT</t>
  </si>
  <si>
    <t>FIND A YOUNG ONE</t>
  </si>
  <si>
    <t xml:space="preserve">Liquidated </t>
  </si>
  <si>
    <t>Employment</t>
  </si>
  <si>
    <t>T0</t>
  </si>
  <si>
    <t>T-1</t>
  </si>
  <si>
    <t>T-2</t>
  </si>
  <si>
    <t>T1</t>
  </si>
  <si>
    <t>T2</t>
  </si>
  <si>
    <t>T3</t>
  </si>
  <si>
    <t xml:space="preserve"> No </t>
  </si>
  <si>
    <t xml:space="preserve">                                  -  </t>
  </si>
  <si>
    <t xml:space="preserve">                                    -  </t>
  </si>
  <si>
    <t xml:space="preserve">  NA  </t>
  </si>
  <si>
    <t>Sales</t>
  </si>
  <si>
    <t xml:space="preserve"> Yes </t>
  </si>
  <si>
    <t xml:space="preserve">                                     -  </t>
  </si>
  <si>
    <t xml:space="preserve">  Total passing  </t>
  </si>
  <si>
    <t xml:space="preserve">                               -  </t>
  </si>
  <si>
    <t>Replaced CompositeLine</t>
  </si>
  <si>
    <t>Replaced SIA MMG Group</t>
  </si>
  <si>
    <t>Replaed Lion Estate</t>
  </si>
  <si>
    <t>NP Jelgavas biznesa parks</t>
  </si>
  <si>
    <t>Stena Line Ports Liepājas SEZ SIA</t>
  </si>
  <si>
    <t>Baltic Block SIA</t>
  </si>
  <si>
    <t>ImmerDigital</t>
  </si>
  <si>
    <t>REPLACEMENT NOT FOUND</t>
  </si>
  <si>
    <t xml:space="preserve">Total </t>
  </si>
  <si>
    <t>Tr Diff</t>
  </si>
  <si>
    <t>Con Diff</t>
  </si>
  <si>
    <t>Diff-in-Diff</t>
  </si>
  <si>
    <t>Wage per person</t>
  </si>
  <si>
    <t>Counterfactual treated group</t>
  </si>
  <si>
    <t>Treated group</t>
  </si>
  <si>
    <t>Control group</t>
  </si>
  <si>
    <t xml:space="preserve">Emlpoyees </t>
  </si>
  <si>
    <t>total</t>
  </si>
  <si>
    <t>employee dif in T1</t>
  </si>
  <si>
    <t>Cost per job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</si>
</sst>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  <font>
      <sz val="11"/>
      <color rgb="FF00000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scheme val="minor"/>
    </font>
    <font>
      <b/>
      <sz val="11"/>
      <color rgb="FF000000"/>
      <name val="Aptos Narrow"/>
      <scheme val="minor"/>
    </font>
    <font>
      <sz val="14"/>
      <color rgb="FF525252"/>
      <name val="Arial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 (Body)"/>
    </font>
    <font>
      <sz val="11"/>
      <color rgb="FFFF0000"/>
      <name val="Aptos Narrow"/>
      <family val="2"/>
      <scheme val="minor"/>
    </font>
    <font>
      <sz val="11"/>
      <color rgb="FFFF0000"/>
      <name val="Aptos Narrow"/>
      <scheme val="minor"/>
    </font>
    <font>
      <sz val="11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theme="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06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64" fontId="0" fillId="0" borderId="0" xfId="2" applyNumberFormat="1" applyFont="1"/>
    <xf numFmtId="164" fontId="0" fillId="2" borderId="0" xfId="2" applyNumberFormat="1" applyFont="1" applyFill="1"/>
    <xf numFmtId="164" fontId="0" fillId="3" borderId="0" xfId="2" applyNumberFormat="1" applyFont="1" applyFill="1"/>
    <xf numFmtId="0" fontId="0" fillId="3" borderId="0" xfId="0" applyFill="1"/>
    <xf numFmtId="164" fontId="5" fillId="3" borderId="0" xfId="2" applyNumberFormat="1" applyFont="1" applyFill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0" fillId="0" borderId="7" xfId="2" applyNumberFormat="1" applyFont="1" applyBorder="1"/>
    <xf numFmtId="0" fontId="0" fillId="0" borderId="7" xfId="0" applyBorder="1"/>
    <xf numFmtId="164" fontId="0" fillId="0" borderId="7" xfId="2" applyNumberFormat="1" applyFont="1" applyFill="1" applyBorder="1"/>
    <xf numFmtId="0" fontId="0" fillId="4" borderId="7" xfId="0" applyFill="1" applyBorder="1"/>
    <xf numFmtId="0" fontId="0" fillId="0" borderId="12" xfId="0" applyBorder="1"/>
    <xf numFmtId="0" fontId="0" fillId="0" borderId="11" xfId="0" applyBorder="1"/>
    <xf numFmtId="0" fontId="5" fillId="0" borderId="7" xfId="0" applyFont="1" applyBorder="1"/>
    <xf numFmtId="164" fontId="0" fillId="0" borderId="13" xfId="2" applyNumberFormat="1" applyFont="1" applyFill="1" applyBorder="1"/>
    <xf numFmtId="164" fontId="5" fillId="0" borderId="13" xfId="0" applyNumberFormat="1" applyFont="1" applyBorder="1"/>
    <xf numFmtId="0" fontId="0" fillId="0" borderId="13" xfId="0" applyBorder="1"/>
    <xf numFmtId="0" fontId="7" fillId="0" borderId="14" xfId="0" applyFont="1" applyBorder="1"/>
    <xf numFmtId="0" fontId="8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7" xfId="1" applyBorder="1"/>
    <xf numFmtId="0" fontId="0" fillId="0" borderId="18" xfId="0" applyBorder="1"/>
    <xf numFmtId="0" fontId="1" fillId="0" borderId="0" xfId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2" fontId="0" fillId="0" borderId="0" xfId="0" applyNumberFormat="1"/>
    <xf numFmtId="164" fontId="0" fillId="4" borderId="7" xfId="2" applyNumberFormat="1" applyFont="1" applyFill="1" applyBorder="1"/>
    <xf numFmtId="0" fontId="0" fillId="5" borderId="7" xfId="0" applyFill="1" applyBorder="1"/>
    <xf numFmtId="164" fontId="0" fillId="5" borderId="7" xfId="2" applyNumberFormat="1" applyFont="1" applyFill="1" applyBorder="1"/>
    <xf numFmtId="0" fontId="0" fillId="5" borderId="12" xfId="0" applyFill="1" applyBorder="1"/>
    <xf numFmtId="0" fontId="0" fillId="0" borderId="24" xfId="0" applyBorder="1"/>
    <xf numFmtId="0" fontId="9" fillId="0" borderId="0" xfId="0" applyFont="1"/>
    <xf numFmtId="0" fontId="11" fillId="0" borderId="5" xfId="0" applyFont="1" applyBorder="1"/>
    <xf numFmtId="0" fontId="5" fillId="0" borderId="0" xfId="0" applyFont="1"/>
    <xf numFmtId="0" fontId="12" fillId="0" borderId="6" xfId="0" applyFont="1" applyBorder="1"/>
    <xf numFmtId="0" fontId="5" fillId="0" borderId="24" xfId="0" applyFont="1" applyBorder="1"/>
    <xf numFmtId="0" fontId="12" fillId="0" borderId="5" xfId="0" applyFont="1" applyBorder="1"/>
    <xf numFmtId="0" fontId="10" fillId="0" borderId="5" xfId="0" applyFont="1" applyBorder="1"/>
    <xf numFmtId="0" fontId="12" fillId="0" borderId="4" xfId="0" applyFont="1" applyBorder="1"/>
    <xf numFmtId="164" fontId="5" fillId="0" borderId="0" xfId="0" applyNumberFormat="1" applyFont="1"/>
    <xf numFmtId="164" fontId="5" fillId="6" borderId="0" xfId="0" applyNumberFormat="1" applyFont="1" applyFill="1"/>
    <xf numFmtId="164" fontId="5" fillId="7" borderId="0" xfId="0" applyNumberFormat="1" applyFont="1" applyFill="1"/>
    <xf numFmtId="0" fontId="5" fillId="6" borderId="0" xfId="0" applyFont="1" applyFill="1"/>
    <xf numFmtId="164" fontId="0" fillId="3" borderId="18" xfId="2" applyNumberFormat="1" applyFont="1" applyFill="1" applyBorder="1"/>
    <xf numFmtId="164" fontId="0" fillId="3" borderId="0" xfId="2" applyNumberFormat="1" applyFont="1" applyFill="1" applyBorder="1"/>
    <xf numFmtId="164" fontId="0" fillId="2" borderId="0" xfId="2" applyNumberFormat="1" applyFont="1" applyFill="1" applyBorder="1"/>
    <xf numFmtId="164" fontId="0" fillId="3" borderId="24" xfId="2" applyNumberFormat="1" applyFont="1" applyFill="1" applyBorder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11" xfId="0" applyFont="1" applyBorder="1"/>
    <xf numFmtId="0" fontId="5" fillId="0" borderId="26" xfId="0" applyFont="1" applyBorder="1"/>
    <xf numFmtId="0" fontId="5" fillId="0" borderId="12" xfId="0" applyFont="1" applyBorder="1"/>
    <xf numFmtId="0" fontId="5" fillId="0" borderId="25" xfId="0" applyFont="1" applyBorder="1"/>
    <xf numFmtId="0" fontId="5" fillId="8" borderId="12" xfId="0" applyFont="1" applyFill="1" applyBorder="1"/>
    <xf numFmtId="164" fontId="5" fillId="8" borderId="12" xfId="0" applyNumberFormat="1" applyFont="1" applyFill="1" applyBorder="1"/>
    <xf numFmtId="164" fontId="5" fillId="0" borderId="12" xfId="0" applyNumberFormat="1" applyFont="1" applyBorder="1"/>
    <xf numFmtId="0" fontId="13" fillId="0" borderId="5" xfId="0" applyFont="1" applyBorder="1"/>
    <xf numFmtId="0" fontId="13" fillId="0" borderId="0" xfId="0" applyFont="1"/>
    <xf numFmtId="0" fontId="5" fillId="9" borderId="12" xfId="0" applyFont="1" applyFill="1" applyBorder="1"/>
    <xf numFmtId="164" fontId="5" fillId="9" borderId="12" xfId="0" applyNumberFormat="1" applyFont="1" applyFill="1" applyBorder="1"/>
    <xf numFmtId="0" fontId="0" fillId="5" borderId="0" xfId="0" applyFill="1"/>
    <xf numFmtId="0" fontId="5" fillId="9" borderId="7" xfId="0" applyFont="1" applyFill="1" applyBorder="1"/>
    <xf numFmtId="0" fontId="5" fillId="9" borderId="0" xfId="0" applyFont="1" applyFill="1"/>
    <xf numFmtId="164" fontId="5" fillId="8" borderId="7" xfId="0" applyNumberFormat="1" applyFont="1" applyFill="1" applyBorder="1"/>
    <xf numFmtId="0" fontId="14" fillId="0" borderId="5" xfId="0" applyFont="1" applyBorder="1"/>
    <xf numFmtId="0" fontId="14" fillId="0" borderId="0" xfId="0" applyFont="1"/>
    <xf numFmtId="164" fontId="0" fillId="0" borderId="0" xfId="2" applyNumberFormat="1" applyFont="1" applyFill="1"/>
    <xf numFmtId="9" fontId="0" fillId="0" borderId="0" xfId="3" applyFont="1"/>
    <xf numFmtId="9" fontId="0" fillId="0" borderId="0" xfId="0" applyNumberFormat="1"/>
    <xf numFmtId="0" fontId="7" fillId="0" borderId="0" xfId="0" applyFont="1"/>
    <xf numFmtId="9" fontId="0" fillId="0" borderId="0" xfId="3" applyFont="1" applyBorder="1"/>
    <xf numFmtId="164" fontId="0" fillId="0" borderId="0" xfId="0" applyNumberFormat="1"/>
    <xf numFmtId="43" fontId="0" fillId="0" borderId="0" xfId="0" applyNumberFormat="1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 indent="2"/>
    </xf>
    <xf numFmtId="0" fontId="7" fillId="0" borderId="11" xfId="0" applyFont="1" applyBorder="1"/>
    <xf numFmtId="164" fontId="0" fillId="0" borderId="7" xfId="0" applyNumberFormat="1" applyBorder="1"/>
    <xf numFmtId="0" fontId="0" fillId="2" borderId="0" xfId="0" applyFill="1"/>
    <xf numFmtId="0" fontId="0" fillId="10" borderId="0" xfId="0" applyFill="1"/>
    <xf numFmtId="2" fontId="0" fillId="0" borderId="17" xfId="0" applyNumberFormat="1" applyBorder="1" applyAlignment="1">
      <alignment horizontal="left"/>
    </xf>
    <xf numFmtId="2" fontId="0" fillId="0" borderId="0" xfId="0" applyNumberFormat="1" applyAlignment="1">
      <alignment horizontal="left"/>
    </xf>
    <xf numFmtId="0" fontId="12" fillId="0" borderId="7" xfId="0" applyFont="1" applyBorder="1"/>
    <xf numFmtId="1" fontId="0" fillId="0" borderId="0" xfId="0" applyNumberFormat="1" applyAlignment="1">
      <alignment horizontal="right"/>
    </xf>
  </cellXfs>
  <cellStyles count="4">
    <cellStyle name="Comma" xfId="2" builtinId="3"/>
    <cellStyle name="Hyperlink" xfId="1" builtinId="8"/>
    <cellStyle name="Normal" xfId="0" builtinId="0"/>
    <cellStyle name="Percent" xfId="3" builtinId="5"/>
  </cellStyles>
  <dxfs count="2">
    <dxf>
      <numFmt numFmtId="19" formatCode="m/d/yy"/>
    </dxf>
    <dxf>
      <numFmt numFmtId="19" formatCode="m/d/yy"/>
    </dxf>
  </dxfs>
  <tableStyles count="0" defaultTableStyle="TableStyleMedium2" defaultPivotStyle="PivotStyleLight16"/>
  <colors>
    <mruColors>
      <color rgb="FFB5E7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Employees!$AA$31</c:f>
              <c:strCache>
                <c:ptCount val="1"/>
                <c:pt idx="0">
                  <c:v>Treated group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Employees!$AB$30:$AG$30</c:f>
              <c:strCache>
                <c:ptCount val="6"/>
                <c:pt idx="0">
                  <c:v>T-2</c:v>
                </c:pt>
                <c:pt idx="1">
                  <c:v>T-1</c:v>
                </c:pt>
                <c:pt idx="2">
                  <c:v>T0</c:v>
                </c:pt>
                <c:pt idx="3">
                  <c:v>T1</c:v>
                </c:pt>
                <c:pt idx="4">
                  <c:v>T2</c:v>
                </c:pt>
                <c:pt idx="5">
                  <c:v>T3</c:v>
                </c:pt>
              </c:strCache>
            </c:strRef>
          </c:cat>
          <c:val>
            <c:numRef>
              <c:f>Employees!$AB$31:$AG$31</c:f>
              <c:numCache>
                <c:formatCode>General</c:formatCode>
                <c:ptCount val="6"/>
                <c:pt idx="0">
                  <c:v>2138</c:v>
                </c:pt>
                <c:pt idx="1">
                  <c:v>2284</c:v>
                </c:pt>
                <c:pt idx="2">
                  <c:v>2363</c:v>
                </c:pt>
                <c:pt idx="3">
                  <c:v>2460</c:v>
                </c:pt>
                <c:pt idx="4">
                  <c:v>2761</c:v>
                </c:pt>
                <c:pt idx="5">
                  <c:v>2876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BA-F54F-9EE2-B644422A6DEC}"/>
            </c:ext>
          </c:extLst>
        </c:ser>
        <c:ser>
          <c:idx val="1"/>
          <c:order val="1"/>
          <c:tx>
            <c:strRef>
              <c:f>Employees!$AA$32</c:f>
              <c:strCache>
                <c:ptCount val="1"/>
                <c:pt idx="0">
                  <c:v>Control group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Employees!$AB$30:$AG$30</c:f>
              <c:strCache>
                <c:ptCount val="6"/>
                <c:pt idx="0">
                  <c:v>T-2</c:v>
                </c:pt>
                <c:pt idx="1">
                  <c:v>T-1</c:v>
                </c:pt>
                <c:pt idx="2">
                  <c:v>T0</c:v>
                </c:pt>
                <c:pt idx="3">
                  <c:v>T1</c:v>
                </c:pt>
                <c:pt idx="4">
                  <c:v>T2</c:v>
                </c:pt>
                <c:pt idx="5">
                  <c:v>T3</c:v>
                </c:pt>
              </c:strCache>
            </c:strRef>
          </c:cat>
          <c:val>
            <c:numRef>
              <c:f>Employees!$AB$32:$AG$32</c:f>
              <c:numCache>
                <c:formatCode>General</c:formatCode>
                <c:ptCount val="6"/>
                <c:pt idx="0">
                  <c:v>2994</c:v>
                </c:pt>
                <c:pt idx="1">
                  <c:v>3110</c:v>
                </c:pt>
                <c:pt idx="2">
                  <c:v>3044</c:v>
                </c:pt>
                <c:pt idx="3">
                  <c:v>2941</c:v>
                </c:pt>
                <c:pt idx="4">
                  <c:v>2899</c:v>
                </c:pt>
                <c:pt idx="5">
                  <c:v>2786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BA-F54F-9EE2-B644422A6DEC}"/>
            </c:ext>
          </c:extLst>
        </c:ser>
        <c:ser>
          <c:idx val="2"/>
          <c:order val="2"/>
          <c:tx>
            <c:strRef>
              <c:f>Employees!$AA$36</c:f>
              <c:strCache>
                <c:ptCount val="1"/>
                <c:pt idx="0">
                  <c:v>Counterfactual treated group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Employees!$AB$30:$AG$30</c:f>
              <c:strCache>
                <c:ptCount val="6"/>
                <c:pt idx="0">
                  <c:v>T-2</c:v>
                </c:pt>
                <c:pt idx="1">
                  <c:v>T-1</c:v>
                </c:pt>
                <c:pt idx="2">
                  <c:v>T0</c:v>
                </c:pt>
                <c:pt idx="3">
                  <c:v>T1</c:v>
                </c:pt>
                <c:pt idx="4">
                  <c:v>T2</c:v>
                </c:pt>
                <c:pt idx="5">
                  <c:v>T3</c:v>
                </c:pt>
              </c:strCache>
            </c:strRef>
          </c:cat>
          <c:val>
            <c:numRef>
              <c:f>Employees!$AB$36:$AG$36</c:f>
              <c:numCache>
                <c:formatCode>General</c:formatCode>
                <c:ptCount val="6"/>
                <c:pt idx="2">
                  <c:v>2363</c:v>
                </c:pt>
                <c:pt idx="3" formatCode="0">
                  <c:v>2283.0430354796322</c:v>
                </c:pt>
                <c:pt idx="4" formatCode="0">
                  <c:v>2250.4392247043365</c:v>
                </c:pt>
                <c:pt idx="5" formatCode="0">
                  <c:v>2162.7194480946123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BA-F54F-9EE2-B644422A6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7468416"/>
        <c:axId val="1345128192"/>
      </c:lineChart>
      <c:catAx>
        <c:axId val="146746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128192"/>
        <c:crosses val="autoZero"/>
        <c:auto val="1"/>
        <c:lblAlgn val="ctr"/>
        <c:lblOffset val="100"/>
        <c:noMultiLvlLbl val="0"/>
      </c:catAx>
      <c:valAx>
        <c:axId val="1345128192"/>
        <c:scaling>
          <c:orientation val="minMax"/>
          <c:max val="3500"/>
          <c:min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46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'Yearly Sales'!$AA$34</c:f>
              <c:strCache>
                <c:ptCount val="1"/>
                <c:pt idx="0">
                  <c:v>Treated group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'Yearly Sales'!$AB$33:$AG$33</c:f>
              <c:strCache>
                <c:ptCount val="6"/>
                <c:pt idx="0">
                  <c:v>T-2</c:v>
                </c:pt>
                <c:pt idx="1">
                  <c:v>T-1</c:v>
                </c:pt>
                <c:pt idx="2">
                  <c:v>T0</c:v>
                </c:pt>
                <c:pt idx="3">
                  <c:v>T1</c:v>
                </c:pt>
                <c:pt idx="4">
                  <c:v>T2</c:v>
                </c:pt>
                <c:pt idx="5">
                  <c:v>T3</c:v>
                </c:pt>
              </c:strCache>
            </c:strRef>
          </c:cat>
          <c:val>
            <c:numRef>
              <c:f>'Yearly Sales'!$AB$34:$AG$34</c:f>
              <c:numCache>
                <c:formatCode>_(* #,##0_);_(* \(#,##0\);_(* "-"??_);_(@_)</c:formatCode>
                <c:ptCount val="6"/>
                <c:pt idx="0">
                  <c:v>235532123</c:v>
                </c:pt>
                <c:pt idx="1">
                  <c:v>248054142</c:v>
                </c:pt>
                <c:pt idx="2">
                  <c:v>275810247</c:v>
                </c:pt>
                <c:pt idx="3">
                  <c:v>331431341</c:v>
                </c:pt>
                <c:pt idx="4">
                  <c:v>397827108</c:v>
                </c:pt>
                <c:pt idx="5">
                  <c:v>445881107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66-384E-85C5-225DA7C6EFD7}"/>
            </c:ext>
          </c:extLst>
        </c:ser>
        <c:ser>
          <c:idx val="1"/>
          <c:order val="1"/>
          <c:tx>
            <c:strRef>
              <c:f>'Yearly Sales'!$AA$35</c:f>
              <c:strCache>
                <c:ptCount val="1"/>
                <c:pt idx="0">
                  <c:v>Control group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'Yearly Sales'!$AB$33:$AG$33</c:f>
              <c:strCache>
                <c:ptCount val="6"/>
                <c:pt idx="0">
                  <c:v>T-2</c:v>
                </c:pt>
                <c:pt idx="1">
                  <c:v>T-1</c:v>
                </c:pt>
                <c:pt idx="2">
                  <c:v>T0</c:v>
                </c:pt>
                <c:pt idx="3">
                  <c:v>T1</c:v>
                </c:pt>
                <c:pt idx="4">
                  <c:v>T2</c:v>
                </c:pt>
                <c:pt idx="5">
                  <c:v>T3</c:v>
                </c:pt>
              </c:strCache>
            </c:strRef>
          </c:cat>
          <c:val>
            <c:numRef>
              <c:f>'Yearly Sales'!$AB$35:$AG$35</c:f>
              <c:numCache>
                <c:formatCode>_(* #,##0_);_(* \(#,##0\);_(* "-"??_);_(@_)</c:formatCode>
                <c:ptCount val="6"/>
                <c:pt idx="0">
                  <c:v>290124912</c:v>
                </c:pt>
                <c:pt idx="1">
                  <c:v>303060311</c:v>
                </c:pt>
                <c:pt idx="2">
                  <c:v>318995129</c:v>
                </c:pt>
                <c:pt idx="3">
                  <c:v>362532671</c:v>
                </c:pt>
                <c:pt idx="4">
                  <c:v>368802682</c:v>
                </c:pt>
                <c:pt idx="5">
                  <c:v>378379898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66-384E-85C5-225DA7C6EFD7}"/>
            </c:ext>
          </c:extLst>
        </c:ser>
        <c:ser>
          <c:idx val="2"/>
          <c:order val="2"/>
          <c:tx>
            <c:strRef>
              <c:f>'Yearly Sales'!$AA$39</c:f>
              <c:strCache>
                <c:ptCount val="1"/>
                <c:pt idx="0">
                  <c:v>Counterfactual treated group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66-384E-85C5-225DA7C6EFD7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66-384E-85C5-225DA7C6EFD7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9366-384E-85C5-225DA7C6EFD7}"/>
              </c:ext>
            </c:extLst>
          </c:dPt>
          <c:cat>
            <c:strRef>
              <c:f>'Yearly Sales'!$AB$33:$AG$33</c:f>
              <c:strCache>
                <c:ptCount val="6"/>
                <c:pt idx="0">
                  <c:v>T-2</c:v>
                </c:pt>
                <c:pt idx="1">
                  <c:v>T-1</c:v>
                </c:pt>
                <c:pt idx="2">
                  <c:v>T0</c:v>
                </c:pt>
                <c:pt idx="3">
                  <c:v>T1</c:v>
                </c:pt>
                <c:pt idx="4">
                  <c:v>T2</c:v>
                </c:pt>
                <c:pt idx="5">
                  <c:v>T3</c:v>
                </c:pt>
              </c:strCache>
            </c:strRef>
          </c:cat>
          <c:val>
            <c:numRef>
              <c:f>'Yearly Sales'!$AB$39:$AG$39</c:f>
              <c:numCache>
                <c:formatCode>General</c:formatCode>
                <c:ptCount val="6"/>
                <c:pt idx="2">
                  <c:v>275810247</c:v>
                </c:pt>
                <c:pt idx="3" formatCode="_(* #,##0.00_);_(* \(#,##0.00\);_(* &quot;-&quot;??_);_(@_)">
                  <c:v>313453769.17676926</c:v>
                </c:pt>
                <c:pt idx="4" formatCode="_(* #,##0.00_);_(* \(#,##0.00\);_(* &quot;-&quot;??_);_(@_)">
                  <c:v>318874959.42510915</c:v>
                </c:pt>
                <c:pt idx="5" formatCode="_(* #,##0.00_);_(* \(#,##0.00\);_(* &quot;-&quot;??_);_(@_)">
                  <c:v>327155632.29561043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66-384E-85C5-225DA7C6E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447872"/>
        <c:axId val="1249449664"/>
      </c:lineChart>
      <c:catAx>
        <c:axId val="124944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449664"/>
        <c:crosses val="autoZero"/>
        <c:auto val="1"/>
        <c:lblAlgn val="ctr"/>
        <c:lblOffset val="100"/>
        <c:noMultiLvlLbl val="0"/>
      </c:catAx>
      <c:valAx>
        <c:axId val="1249449664"/>
        <c:scaling>
          <c:orientation val="minMax"/>
          <c:min val="2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44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Investment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'Investment (capex)'!$Z$30</c:f>
              <c:strCache>
                <c:ptCount val="1"/>
                <c:pt idx="0">
                  <c:v>Treated group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'Investment (capex)'!$AA$29:$AF$29</c:f>
              <c:strCache>
                <c:ptCount val="6"/>
                <c:pt idx="0">
                  <c:v>T-2</c:v>
                </c:pt>
                <c:pt idx="1">
                  <c:v>T-1</c:v>
                </c:pt>
                <c:pt idx="2">
                  <c:v>T0</c:v>
                </c:pt>
                <c:pt idx="3">
                  <c:v>T1</c:v>
                </c:pt>
                <c:pt idx="4">
                  <c:v>T2</c:v>
                </c:pt>
                <c:pt idx="5">
                  <c:v>T3</c:v>
                </c:pt>
              </c:strCache>
            </c:strRef>
          </c:cat>
          <c:val>
            <c:numRef>
              <c:f>'Investment (capex)'!$AA$30:$AF$30</c:f>
              <c:numCache>
                <c:formatCode>General</c:formatCode>
                <c:ptCount val="6"/>
                <c:pt idx="0">
                  <c:v>25752009</c:v>
                </c:pt>
                <c:pt idx="1">
                  <c:v>19292789</c:v>
                </c:pt>
                <c:pt idx="2">
                  <c:v>28299557</c:v>
                </c:pt>
                <c:pt idx="3">
                  <c:v>20249498</c:v>
                </c:pt>
                <c:pt idx="4">
                  <c:v>34630386</c:v>
                </c:pt>
                <c:pt idx="5">
                  <c:v>55323518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59-8041-BEE6-FE4E7884CA03}"/>
            </c:ext>
          </c:extLst>
        </c:ser>
        <c:ser>
          <c:idx val="1"/>
          <c:order val="1"/>
          <c:tx>
            <c:strRef>
              <c:f>'Investment (capex)'!$Z$31</c:f>
              <c:strCache>
                <c:ptCount val="1"/>
                <c:pt idx="0">
                  <c:v>Control group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'Investment (capex)'!$AA$29:$AF$29</c:f>
              <c:strCache>
                <c:ptCount val="6"/>
                <c:pt idx="0">
                  <c:v>T-2</c:v>
                </c:pt>
                <c:pt idx="1">
                  <c:v>T-1</c:v>
                </c:pt>
                <c:pt idx="2">
                  <c:v>T0</c:v>
                </c:pt>
                <c:pt idx="3">
                  <c:v>T1</c:v>
                </c:pt>
                <c:pt idx="4">
                  <c:v>T2</c:v>
                </c:pt>
                <c:pt idx="5">
                  <c:v>T3</c:v>
                </c:pt>
              </c:strCache>
            </c:strRef>
          </c:cat>
          <c:val>
            <c:numRef>
              <c:f>'Investment (capex)'!$AA$31:$AF$31</c:f>
              <c:numCache>
                <c:formatCode>General</c:formatCode>
                <c:ptCount val="6"/>
                <c:pt idx="0">
                  <c:v>14957102</c:v>
                </c:pt>
                <c:pt idx="1">
                  <c:v>16395041</c:v>
                </c:pt>
                <c:pt idx="2">
                  <c:v>15613353</c:v>
                </c:pt>
                <c:pt idx="3">
                  <c:v>28496274</c:v>
                </c:pt>
                <c:pt idx="4">
                  <c:v>37975733</c:v>
                </c:pt>
                <c:pt idx="5">
                  <c:v>57077729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59-8041-BEE6-FE4E7884CA03}"/>
            </c:ext>
          </c:extLst>
        </c:ser>
        <c:ser>
          <c:idx val="2"/>
          <c:order val="2"/>
          <c:tx>
            <c:strRef>
              <c:f>'Investment (capex)'!$Z$35</c:f>
              <c:strCache>
                <c:ptCount val="1"/>
                <c:pt idx="0">
                  <c:v>Counterfactual treated group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'Investment (capex)'!$AA$29:$AF$29</c:f>
              <c:strCache>
                <c:ptCount val="6"/>
                <c:pt idx="0">
                  <c:v>T-2</c:v>
                </c:pt>
                <c:pt idx="1">
                  <c:v>T-1</c:v>
                </c:pt>
                <c:pt idx="2">
                  <c:v>T0</c:v>
                </c:pt>
                <c:pt idx="3">
                  <c:v>T1</c:v>
                </c:pt>
                <c:pt idx="4">
                  <c:v>T2</c:v>
                </c:pt>
                <c:pt idx="5">
                  <c:v>T3</c:v>
                </c:pt>
              </c:strCache>
            </c:strRef>
          </c:cat>
          <c:val>
            <c:numRef>
              <c:f>'Investment (capex)'!$AA$35:$AF$35</c:f>
              <c:numCache>
                <c:formatCode>General</c:formatCode>
                <c:ptCount val="6"/>
                <c:pt idx="2">
                  <c:v>28299557</c:v>
                </c:pt>
                <c:pt idx="3">
                  <c:v>51650143.972958148</c:v>
                </c:pt>
                <c:pt idx="4">
                  <c:v>68831878.754696757</c:v>
                </c:pt>
                <c:pt idx="5">
                  <c:v>103454680.44346739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59-8041-BEE6-FE4E7884C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2922176"/>
        <c:axId val="1345474496"/>
      </c:lineChart>
      <c:catAx>
        <c:axId val="134292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74496"/>
        <c:crosses val="autoZero"/>
        <c:auto val="1"/>
        <c:lblAlgn val="ctr"/>
        <c:lblOffset val="100"/>
        <c:noMultiLvlLbl val="0"/>
      </c:catAx>
      <c:valAx>
        <c:axId val="134547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92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Wage per 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'Wages salaries'!$Z$29</c:f>
              <c:strCache>
                <c:ptCount val="1"/>
                <c:pt idx="0">
                  <c:v>Treated group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'Wages salaries'!$AA$28:$AF$28</c:f>
              <c:strCache>
                <c:ptCount val="6"/>
                <c:pt idx="0">
                  <c:v>T-2</c:v>
                </c:pt>
                <c:pt idx="1">
                  <c:v>T-1</c:v>
                </c:pt>
                <c:pt idx="2">
                  <c:v>T0</c:v>
                </c:pt>
                <c:pt idx="3">
                  <c:v>T1</c:v>
                </c:pt>
                <c:pt idx="4">
                  <c:v>T2</c:v>
                </c:pt>
                <c:pt idx="5">
                  <c:v>T3</c:v>
                </c:pt>
              </c:strCache>
            </c:strRef>
          </c:cat>
          <c:val>
            <c:numRef>
              <c:f>'Wages salaries'!$AA$29:$AF$29</c:f>
              <c:numCache>
                <c:formatCode>_(* #,##0_);_(* \(#,##0\);_(* "-"??_);_(@_)</c:formatCode>
                <c:ptCount val="6"/>
                <c:pt idx="0">
                  <c:v>12140.943872778298</c:v>
                </c:pt>
                <c:pt idx="1">
                  <c:v>13319.268388791594</c:v>
                </c:pt>
                <c:pt idx="2">
                  <c:v>14753.260685569192</c:v>
                </c:pt>
                <c:pt idx="3">
                  <c:v>15843.165040650407</c:v>
                </c:pt>
                <c:pt idx="4">
                  <c:v>17324.503802969939</c:v>
                </c:pt>
                <c:pt idx="5">
                  <c:v>19177.480528511824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7A-D646-BF3D-D40DA838DF93}"/>
            </c:ext>
          </c:extLst>
        </c:ser>
        <c:ser>
          <c:idx val="1"/>
          <c:order val="1"/>
          <c:tx>
            <c:strRef>
              <c:f>'Wages salaries'!$Z$30</c:f>
              <c:strCache>
                <c:ptCount val="1"/>
                <c:pt idx="0">
                  <c:v>Control group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'Wages salaries'!$AA$28:$AF$28</c:f>
              <c:strCache>
                <c:ptCount val="6"/>
                <c:pt idx="0">
                  <c:v>T-2</c:v>
                </c:pt>
                <c:pt idx="1">
                  <c:v>T-1</c:v>
                </c:pt>
                <c:pt idx="2">
                  <c:v>T0</c:v>
                </c:pt>
                <c:pt idx="3">
                  <c:v>T1</c:v>
                </c:pt>
                <c:pt idx="4">
                  <c:v>T2</c:v>
                </c:pt>
                <c:pt idx="5">
                  <c:v>T3</c:v>
                </c:pt>
              </c:strCache>
            </c:strRef>
          </c:cat>
          <c:val>
            <c:numRef>
              <c:f>'Wages salaries'!$AA$30:$AF$30</c:f>
              <c:numCache>
                <c:formatCode>_(* #,##0_);_(* \(#,##0\);_(* "-"??_);_(@_)</c:formatCode>
                <c:ptCount val="6"/>
                <c:pt idx="0">
                  <c:v>12228.492317969272</c:v>
                </c:pt>
                <c:pt idx="1">
                  <c:v>13212.326688102894</c:v>
                </c:pt>
                <c:pt idx="2">
                  <c:v>13273.680683311431</c:v>
                </c:pt>
                <c:pt idx="3">
                  <c:v>14230.375722543353</c:v>
                </c:pt>
                <c:pt idx="4">
                  <c:v>15265.882373232149</c:v>
                </c:pt>
                <c:pt idx="5">
                  <c:v>16251.614860014357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7A-D646-BF3D-D40DA838DF93}"/>
            </c:ext>
          </c:extLst>
        </c:ser>
        <c:ser>
          <c:idx val="2"/>
          <c:order val="2"/>
          <c:tx>
            <c:strRef>
              <c:f>'Wages salaries'!$Z$34</c:f>
              <c:strCache>
                <c:ptCount val="1"/>
                <c:pt idx="0">
                  <c:v>Counterfactual treated group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'Wages salaries'!$AA$28:$AF$28</c:f>
              <c:strCache>
                <c:ptCount val="6"/>
                <c:pt idx="0">
                  <c:v>T-2</c:v>
                </c:pt>
                <c:pt idx="1">
                  <c:v>T-1</c:v>
                </c:pt>
                <c:pt idx="2">
                  <c:v>T0</c:v>
                </c:pt>
                <c:pt idx="3">
                  <c:v>T1</c:v>
                </c:pt>
                <c:pt idx="4">
                  <c:v>T2</c:v>
                </c:pt>
                <c:pt idx="5">
                  <c:v>T3</c:v>
                </c:pt>
              </c:strCache>
            </c:strRef>
          </c:cat>
          <c:val>
            <c:numRef>
              <c:f>'Wages salaries'!$AA$34:$AF$34</c:f>
              <c:numCache>
                <c:formatCode>0</c:formatCode>
                <c:ptCount val="6"/>
                <c:pt idx="2">
                  <c:v>14753.260685569192</c:v>
                </c:pt>
                <c:pt idx="3">
                  <c:v>15816.595840838139</c:v>
                </c:pt>
                <c:pt idx="4">
                  <c:v>16967.527517118393</c:v>
                </c:pt>
                <c:pt idx="5">
                  <c:v>18063.136842873566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7A-D646-BF3D-D40DA838D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1948928"/>
        <c:axId val="1587521152"/>
      </c:lineChart>
      <c:catAx>
        <c:axId val="12419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521152"/>
        <c:crosses val="autoZero"/>
        <c:auto val="1"/>
        <c:lblAlgn val="ctr"/>
        <c:lblOffset val="100"/>
        <c:noMultiLvlLbl val="0"/>
      </c:catAx>
      <c:valAx>
        <c:axId val="1587521152"/>
        <c:scaling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948928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548164</xdr:colOff>
      <xdr:row>39</xdr:row>
      <xdr:rowOff>50181</xdr:rowOff>
    </xdr:from>
    <xdr:to>
      <xdr:col>33</xdr:col>
      <xdr:colOff>47036</xdr:colOff>
      <xdr:row>56</xdr:row>
      <xdr:rowOff>15679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531980-B3BD-B44B-7CF1-30F5DE58E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655621</xdr:colOff>
      <xdr:row>41</xdr:row>
      <xdr:rowOff>82490</xdr:rowOff>
    </xdr:from>
    <xdr:to>
      <xdr:col>32</xdr:col>
      <xdr:colOff>157902</xdr:colOff>
      <xdr:row>55</xdr:row>
      <xdr:rowOff>67249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9A977C-90E9-45D0-FA78-D73564EC7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330200</xdr:colOff>
      <xdr:row>38</xdr:row>
      <xdr:rowOff>12698</xdr:rowOff>
    </xdr:from>
    <xdr:to>
      <xdr:col>32</xdr:col>
      <xdr:colOff>330200</xdr:colOff>
      <xdr:row>74</xdr:row>
      <xdr:rowOff>90713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086186-4FCF-BFE4-E5A0-02FC0F586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662218</xdr:colOff>
      <xdr:row>37</xdr:row>
      <xdr:rowOff>12556</xdr:rowOff>
    </xdr:from>
    <xdr:to>
      <xdr:col>31</xdr:col>
      <xdr:colOff>797441</xdr:colOff>
      <xdr:row>51</xdr:row>
      <xdr:rowOff>116280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03C8B3-2503-93EB-3A9C-21EEE16D7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DC09F9-E148-FA41-948F-F180095235FD}" name="Table1" displayName="Table1" ref="A1:T37" totalsRowShown="0">
  <autoFilter ref="A1:T37" xr:uid="{67DC09F9-E148-FA41-948F-F180095235FD}"/>
  <sortState xmlns:xlrd2="http://schemas.microsoft.com/office/spreadsheetml/2017/richdata2" ref="A2:T37">
    <sortCondition ref="Q1:Q37"/>
  </sortState>
  <tableColumns count="20">
    <tableColumn id="1" xr3:uid="{2B60C61A-BCD2-4A45-9224-36C6C8C726DB}" name="﻿Country"/>
    <tableColumn id="2" xr3:uid="{FEA101E3-3448-B342-BB42-1DC9F3C0A08B}" name="Another Beneficiary Member State"/>
    <tableColumn id="3" xr3:uid="{A7669101-F37B-B64C-A849-5588EAB8B8A8}" name="Aid Measure Title"/>
    <tableColumn id="4" xr3:uid="{8A90D661-5F85-7C4A-86DF-65AF0CA6DB6D}" name="Aid Measure Title [EN]"/>
    <tableColumn id="5" xr3:uid="{0CEE3AFD-085D-3A4D-A22A-41A366946B00}" name="SA.Number"/>
    <tableColumn id="6" xr3:uid="{01160CFA-25DD-9E40-89A6-A4C442687241}" name="Ref-no."/>
    <tableColumn id="7" xr3:uid="{9CAEFC9D-A2D1-C043-85A8-6CA2BDABCF93}" name="National ID"/>
    <tableColumn id="8" xr3:uid="{BCE1011D-E756-664B-9778-2BA6F82AD528}" name="Name of the beneficiary"/>
    <tableColumn id="9" xr3:uid="{0FFC4B21-4842-E448-979A-A5BD4FD98167}" name="Name of the beneficiary [EN]"/>
    <tableColumn id="10" xr3:uid="{D9873C9B-293A-3742-91AC-9B7C28BBAE16}" name="Beneficiary Type"/>
    <tableColumn id="11" xr3:uid="{89BDDCF7-5438-4E49-A6E0-806F09F81FA2}" name="Region"/>
    <tableColumn id="12" xr3:uid="{6230FAFE-B9A0-CB48-8E68-E4D9FCD751C7}" name="Sector (NACE)"/>
    <tableColumn id="13" xr3:uid="{D8F000E6-2008-1C45-A6D2-C743CC8E00A0}" name="Aid Instrument"/>
    <tableColumn id="14" xr3:uid="{9FB1F387-3FE7-1241-8F3E-2CC8F2EB6825}" name="Objectives of the Aid"/>
    <tableColumn id="15" xr3:uid="{F11BBAB4-1D40-9A41-B0E1-E9EFB1849FD8}" name="Aid element, expressed as full amount"/>
    <tableColumn id="16" xr3:uid="{691BAD5D-F546-4D45-8023-726B3C3B8597}" name="Currency"/>
    <tableColumn id="17" xr3:uid="{45EE331A-9A68-944A-BA6F-D81B880E1EF1}" name="Date of granting" dataDxfId="1"/>
    <tableColumn id="18" xr3:uid="{C1C5EDFE-F70C-B74D-BB97-011B01D771AC}" name="Granting Authority Name"/>
    <tableColumn id="19" xr3:uid="{E29CD274-4649-AF40-948C-3574B418FC9D}" name="Granting Authority Name [EN]"/>
    <tableColumn id="20" xr3:uid="{24D9CBDE-F9A1-E94A-94AE-23DD4C169937}" name="Published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talmaster.lv/en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5"/>
  <sheetViews>
    <sheetView zoomScale="117" workbookViewId="0">
      <selection activeCell="P48" sqref="P48"/>
    </sheetView>
  </sheetViews>
  <sheetFormatPr baseColWidth="10" defaultColWidth="8.83203125" defaultRowHeight="15" x14ac:dyDescent="0.2"/>
  <cols>
    <col min="1" max="1" width="10.6640625" customWidth="1"/>
    <col min="2" max="2" width="6" customWidth="1"/>
    <col min="3" max="3" width="16.83203125" customWidth="1"/>
    <col min="4" max="4" width="20.33203125" customWidth="1"/>
    <col min="5" max="5" width="12.33203125" customWidth="1"/>
    <col min="6" max="6" width="9" customWidth="1"/>
    <col min="7" max="7" width="15.33203125" customWidth="1"/>
    <col min="8" max="8" width="26.33203125" customWidth="1"/>
    <col min="9" max="9" width="28.83203125" customWidth="1"/>
    <col min="10" max="10" width="16.1640625" customWidth="1"/>
    <col min="12" max="12" width="14.33203125" customWidth="1"/>
    <col min="13" max="13" width="15.1640625" customWidth="1"/>
    <col min="14" max="14" width="19.5" customWidth="1"/>
    <col min="15" max="15" width="33.1640625" customWidth="1"/>
    <col min="16" max="16" width="10.6640625" customWidth="1"/>
    <col min="17" max="17" width="15.6640625" customWidth="1"/>
    <col min="18" max="18" width="22.6640625" customWidth="1"/>
    <col min="19" max="19" width="26.1640625" customWidth="1"/>
    <col min="20" max="20" width="15.33203125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3" x14ac:dyDescent="0.2">
      <c r="A2" t="s">
        <v>20</v>
      </c>
      <c r="B2" t="s">
        <v>20</v>
      </c>
      <c r="C2" t="s">
        <v>21</v>
      </c>
      <c r="D2" t="s">
        <v>22</v>
      </c>
      <c r="E2" t="s">
        <v>23</v>
      </c>
      <c r="F2" t="s">
        <v>121</v>
      </c>
      <c r="G2" t="s">
        <v>122</v>
      </c>
      <c r="H2" t="s">
        <v>123</v>
      </c>
      <c r="I2" t="s">
        <v>124</v>
      </c>
      <c r="J2" t="s">
        <v>27</v>
      </c>
      <c r="K2" t="s">
        <v>40</v>
      </c>
      <c r="L2" t="s">
        <v>125</v>
      </c>
      <c r="M2" t="s">
        <v>30</v>
      </c>
      <c r="N2" t="s">
        <v>32</v>
      </c>
      <c r="O2" t="s">
        <v>126</v>
      </c>
      <c r="P2" t="s">
        <v>34</v>
      </c>
      <c r="Q2" s="1">
        <v>42677</v>
      </c>
      <c r="R2" t="s">
        <v>43</v>
      </c>
      <c r="S2" t="s">
        <v>44</v>
      </c>
      <c r="T2" s="1">
        <v>42724</v>
      </c>
      <c r="U2" t="s">
        <v>31</v>
      </c>
      <c r="V2" t="s">
        <v>31</v>
      </c>
      <c r="W2" t="s">
        <v>31</v>
      </c>
    </row>
    <row r="3" spans="1:23" x14ac:dyDescent="0.2">
      <c r="A3" t="s">
        <v>20</v>
      </c>
      <c r="B3" t="s">
        <v>20</v>
      </c>
      <c r="C3" t="s">
        <v>21</v>
      </c>
      <c r="D3" t="s">
        <v>22</v>
      </c>
      <c r="E3" t="s">
        <v>23</v>
      </c>
      <c r="F3" t="s">
        <v>127</v>
      </c>
      <c r="G3" t="s">
        <v>128</v>
      </c>
      <c r="H3" t="s">
        <v>129</v>
      </c>
      <c r="I3" t="s">
        <v>129</v>
      </c>
      <c r="J3" t="s">
        <v>27</v>
      </c>
      <c r="K3" t="s">
        <v>40</v>
      </c>
      <c r="L3" t="s">
        <v>48</v>
      </c>
      <c r="M3" t="s">
        <v>30</v>
      </c>
      <c r="N3" t="s">
        <v>32</v>
      </c>
      <c r="O3" t="s">
        <v>130</v>
      </c>
      <c r="P3" t="s">
        <v>34</v>
      </c>
      <c r="Q3" s="1">
        <v>42677</v>
      </c>
      <c r="R3" t="s">
        <v>43</v>
      </c>
      <c r="S3" t="s">
        <v>44</v>
      </c>
      <c r="T3" s="1">
        <v>42724</v>
      </c>
      <c r="U3" t="s">
        <v>31</v>
      </c>
      <c r="V3" t="s">
        <v>31</v>
      </c>
      <c r="W3" t="s">
        <v>31</v>
      </c>
    </row>
    <row r="4" spans="1:23" x14ac:dyDescent="0.2">
      <c r="A4" t="s">
        <v>20</v>
      </c>
      <c r="B4" t="s">
        <v>20</v>
      </c>
      <c r="C4" t="s">
        <v>21</v>
      </c>
      <c r="D4" t="s">
        <v>22</v>
      </c>
      <c r="E4" t="s">
        <v>23</v>
      </c>
      <c r="F4" t="s">
        <v>142</v>
      </c>
      <c r="G4" t="s">
        <v>143</v>
      </c>
      <c r="H4" t="s">
        <v>144</v>
      </c>
      <c r="I4" t="s">
        <v>145</v>
      </c>
      <c r="J4" t="s">
        <v>146</v>
      </c>
      <c r="K4" t="s">
        <v>40</v>
      </c>
      <c r="L4" t="s">
        <v>147</v>
      </c>
      <c r="M4" t="s">
        <v>30</v>
      </c>
      <c r="N4" t="s">
        <v>32</v>
      </c>
      <c r="O4" t="s">
        <v>148</v>
      </c>
      <c r="P4" t="s">
        <v>34</v>
      </c>
      <c r="Q4" s="1">
        <v>42677</v>
      </c>
      <c r="R4" t="s">
        <v>43</v>
      </c>
      <c r="S4" t="s">
        <v>44</v>
      </c>
      <c r="T4" s="1">
        <v>42724</v>
      </c>
      <c r="U4" t="s">
        <v>31</v>
      </c>
      <c r="V4" t="s">
        <v>31</v>
      </c>
      <c r="W4" t="s">
        <v>31</v>
      </c>
    </row>
    <row r="5" spans="1:23" x14ac:dyDescent="0.2">
      <c r="A5" t="s">
        <v>20</v>
      </c>
      <c r="B5" t="s">
        <v>20</v>
      </c>
      <c r="C5" t="s">
        <v>21</v>
      </c>
      <c r="D5" t="s">
        <v>22</v>
      </c>
      <c r="E5" t="s">
        <v>23</v>
      </c>
      <c r="F5" t="s">
        <v>131</v>
      </c>
      <c r="G5" t="s">
        <v>132</v>
      </c>
      <c r="H5" t="s">
        <v>133</v>
      </c>
      <c r="I5" t="s">
        <v>134</v>
      </c>
      <c r="J5" t="s">
        <v>27</v>
      </c>
      <c r="K5" t="s">
        <v>40</v>
      </c>
      <c r="L5" t="s">
        <v>135</v>
      </c>
      <c r="M5" t="s">
        <v>30</v>
      </c>
      <c r="N5" t="s">
        <v>32</v>
      </c>
      <c r="O5" t="s">
        <v>136</v>
      </c>
      <c r="P5" t="s">
        <v>34</v>
      </c>
      <c r="Q5" s="1">
        <v>42706</v>
      </c>
      <c r="R5" t="s">
        <v>43</v>
      </c>
      <c r="S5" t="s">
        <v>44</v>
      </c>
      <c r="T5" s="1">
        <v>42724</v>
      </c>
      <c r="U5" t="s">
        <v>31</v>
      </c>
      <c r="V5" t="s">
        <v>31</v>
      </c>
      <c r="W5" t="s">
        <v>31</v>
      </c>
    </row>
    <row r="6" spans="1:23" x14ac:dyDescent="0.2">
      <c r="A6" t="s">
        <v>20</v>
      </c>
      <c r="B6" t="s">
        <v>20</v>
      </c>
      <c r="C6" t="s">
        <v>21</v>
      </c>
      <c r="D6" t="s">
        <v>22</v>
      </c>
      <c r="E6" t="s">
        <v>23</v>
      </c>
      <c r="F6" t="s">
        <v>137</v>
      </c>
      <c r="G6" t="s">
        <v>138</v>
      </c>
      <c r="H6" t="s">
        <v>139</v>
      </c>
      <c r="I6" t="s">
        <v>140</v>
      </c>
      <c r="J6" t="s">
        <v>27</v>
      </c>
      <c r="K6" t="s">
        <v>40</v>
      </c>
      <c r="L6" t="s">
        <v>41</v>
      </c>
      <c r="M6" t="s">
        <v>30</v>
      </c>
      <c r="N6" t="s">
        <v>32</v>
      </c>
      <c r="O6" t="s">
        <v>141</v>
      </c>
      <c r="P6" t="s">
        <v>34</v>
      </c>
      <c r="Q6" s="1">
        <v>42706</v>
      </c>
      <c r="R6" t="s">
        <v>43</v>
      </c>
      <c r="S6" t="s">
        <v>44</v>
      </c>
      <c r="T6" s="1">
        <v>42724</v>
      </c>
      <c r="U6" t="s">
        <v>31</v>
      </c>
      <c r="V6" t="s">
        <v>31</v>
      </c>
      <c r="W6" t="s">
        <v>31</v>
      </c>
    </row>
    <row r="7" spans="1:23" x14ac:dyDescent="0.2">
      <c r="A7" t="s">
        <v>20</v>
      </c>
      <c r="B7" t="s">
        <v>20</v>
      </c>
      <c r="C7" t="s">
        <v>21</v>
      </c>
      <c r="D7" t="s">
        <v>22</v>
      </c>
      <c r="E7" t="s">
        <v>23</v>
      </c>
      <c r="F7" t="s">
        <v>203</v>
      </c>
      <c r="G7" t="s">
        <v>204</v>
      </c>
      <c r="H7" t="s">
        <v>205</v>
      </c>
      <c r="I7" t="s">
        <v>206</v>
      </c>
      <c r="J7" t="s">
        <v>27</v>
      </c>
      <c r="K7" t="s">
        <v>40</v>
      </c>
      <c r="L7" t="s">
        <v>41</v>
      </c>
      <c r="M7" t="s">
        <v>30</v>
      </c>
      <c r="N7" t="s">
        <v>32</v>
      </c>
      <c r="O7" t="s">
        <v>184</v>
      </c>
      <c r="P7" t="s">
        <v>34</v>
      </c>
      <c r="Q7" s="1">
        <v>42706</v>
      </c>
      <c r="R7" t="s">
        <v>43</v>
      </c>
      <c r="S7" t="s">
        <v>44</v>
      </c>
      <c r="T7" s="1">
        <v>42724</v>
      </c>
      <c r="U7" t="s">
        <v>31</v>
      </c>
      <c r="V7" t="s">
        <v>31</v>
      </c>
      <c r="W7" t="s">
        <v>31</v>
      </c>
    </row>
    <row r="8" spans="1:23" x14ac:dyDescent="0.2">
      <c r="A8" t="s">
        <v>20</v>
      </c>
      <c r="B8" t="s">
        <v>20</v>
      </c>
      <c r="C8" t="s">
        <v>21</v>
      </c>
      <c r="D8" t="s">
        <v>22</v>
      </c>
      <c r="E8" t="s">
        <v>23</v>
      </c>
      <c r="F8" t="s">
        <v>155</v>
      </c>
      <c r="G8" t="s">
        <v>143</v>
      </c>
      <c r="H8" t="s">
        <v>144</v>
      </c>
      <c r="I8" t="s">
        <v>145</v>
      </c>
      <c r="J8" t="s">
        <v>146</v>
      </c>
      <c r="K8" t="s">
        <v>152</v>
      </c>
      <c r="L8" t="s">
        <v>147</v>
      </c>
      <c r="M8" t="s">
        <v>30</v>
      </c>
      <c r="N8" t="s">
        <v>32</v>
      </c>
      <c r="O8" t="s">
        <v>156</v>
      </c>
      <c r="P8" t="s">
        <v>34</v>
      </c>
      <c r="Q8" s="1">
        <v>42731</v>
      </c>
      <c r="R8" t="s">
        <v>43</v>
      </c>
      <c r="S8" t="s">
        <v>44</v>
      </c>
      <c r="T8" s="1">
        <v>42912</v>
      </c>
      <c r="U8" t="s">
        <v>31</v>
      </c>
      <c r="V8" t="s">
        <v>31</v>
      </c>
      <c r="W8" t="s">
        <v>31</v>
      </c>
    </row>
    <row r="9" spans="1:23" x14ac:dyDescent="0.2">
      <c r="A9" t="s">
        <v>20</v>
      </c>
      <c r="B9" t="s">
        <v>20</v>
      </c>
      <c r="C9" t="s">
        <v>21</v>
      </c>
      <c r="D9" t="s">
        <v>22</v>
      </c>
      <c r="E9" t="s">
        <v>23</v>
      </c>
      <c r="F9" t="s">
        <v>157</v>
      </c>
      <c r="G9" t="s">
        <v>158</v>
      </c>
      <c r="H9" t="s">
        <v>159</v>
      </c>
      <c r="I9" t="s">
        <v>159</v>
      </c>
      <c r="J9" t="s">
        <v>27</v>
      </c>
      <c r="K9" t="s">
        <v>160</v>
      </c>
      <c r="L9" t="s">
        <v>41</v>
      </c>
      <c r="M9" t="s">
        <v>30</v>
      </c>
      <c r="N9" t="s">
        <v>32</v>
      </c>
      <c r="O9" t="s">
        <v>161</v>
      </c>
      <c r="P9" t="s">
        <v>34</v>
      </c>
      <c r="Q9" s="1">
        <v>42731</v>
      </c>
      <c r="R9" t="s">
        <v>43</v>
      </c>
      <c r="S9" t="s">
        <v>44</v>
      </c>
      <c r="T9" s="1">
        <v>42912</v>
      </c>
      <c r="U9" t="s">
        <v>31</v>
      </c>
      <c r="V9" t="s">
        <v>31</v>
      </c>
      <c r="W9" t="s">
        <v>31</v>
      </c>
    </row>
    <row r="10" spans="1:23" x14ac:dyDescent="0.2">
      <c r="A10" t="s">
        <v>20</v>
      </c>
      <c r="B10" t="s">
        <v>20</v>
      </c>
      <c r="C10" t="s">
        <v>21</v>
      </c>
      <c r="D10" t="s">
        <v>22</v>
      </c>
      <c r="E10" t="s">
        <v>23</v>
      </c>
      <c r="F10" t="s">
        <v>162</v>
      </c>
      <c r="G10" t="s">
        <v>163</v>
      </c>
      <c r="H10" t="s">
        <v>164</v>
      </c>
      <c r="I10" t="s">
        <v>165</v>
      </c>
      <c r="J10" t="s">
        <v>27</v>
      </c>
      <c r="K10" t="s">
        <v>166</v>
      </c>
      <c r="L10" t="s">
        <v>41</v>
      </c>
      <c r="M10" t="s">
        <v>30</v>
      </c>
      <c r="N10" t="s">
        <v>32</v>
      </c>
      <c r="O10" t="s">
        <v>167</v>
      </c>
      <c r="P10" t="s">
        <v>34</v>
      </c>
      <c r="Q10" s="1">
        <v>42731</v>
      </c>
      <c r="R10" t="s">
        <v>43</v>
      </c>
      <c r="S10" t="s">
        <v>44</v>
      </c>
      <c r="T10" s="1">
        <v>42912</v>
      </c>
      <c r="U10" t="s">
        <v>31</v>
      </c>
      <c r="V10" t="s">
        <v>31</v>
      </c>
      <c r="W10" t="s">
        <v>31</v>
      </c>
    </row>
    <row r="11" spans="1:23" x14ac:dyDescent="0.2">
      <c r="A11" t="s">
        <v>20</v>
      </c>
      <c r="B11" t="s">
        <v>20</v>
      </c>
      <c r="C11" t="s">
        <v>21</v>
      </c>
      <c r="D11" t="s">
        <v>22</v>
      </c>
      <c r="E11" t="s">
        <v>23</v>
      </c>
      <c r="F11" t="s">
        <v>178</v>
      </c>
      <c r="G11" t="s">
        <v>143</v>
      </c>
      <c r="H11" t="s">
        <v>144</v>
      </c>
      <c r="I11" t="s">
        <v>145</v>
      </c>
      <c r="J11" t="s">
        <v>146</v>
      </c>
      <c r="K11" t="s">
        <v>152</v>
      </c>
      <c r="L11" t="s">
        <v>147</v>
      </c>
      <c r="M11" t="s">
        <v>30</v>
      </c>
      <c r="N11" t="s">
        <v>32</v>
      </c>
      <c r="O11" t="s">
        <v>179</v>
      </c>
      <c r="P11" t="s">
        <v>34</v>
      </c>
      <c r="Q11" s="1">
        <v>42731</v>
      </c>
      <c r="R11" t="s">
        <v>43</v>
      </c>
      <c r="S11" t="s">
        <v>44</v>
      </c>
      <c r="T11" s="1">
        <v>42912</v>
      </c>
      <c r="U11" t="s">
        <v>31</v>
      </c>
      <c r="V11" t="s">
        <v>31</v>
      </c>
      <c r="W11" t="s">
        <v>31</v>
      </c>
    </row>
    <row r="12" spans="1:23" x14ac:dyDescent="0.2">
      <c r="A12" t="s">
        <v>20</v>
      </c>
      <c r="B12" t="s">
        <v>20</v>
      </c>
      <c r="C12" t="s">
        <v>21</v>
      </c>
      <c r="D12" t="s">
        <v>22</v>
      </c>
      <c r="E12" t="s">
        <v>23</v>
      </c>
      <c r="F12" t="s">
        <v>180</v>
      </c>
      <c r="G12" t="s">
        <v>181</v>
      </c>
      <c r="H12" t="s">
        <v>182</v>
      </c>
      <c r="I12" t="s">
        <v>182</v>
      </c>
      <c r="J12" t="s">
        <v>27</v>
      </c>
      <c r="K12" t="s">
        <v>183</v>
      </c>
      <c r="L12" t="s">
        <v>41</v>
      </c>
      <c r="M12" t="s">
        <v>30</v>
      </c>
      <c r="N12" t="s">
        <v>32</v>
      </c>
      <c r="O12" t="s">
        <v>184</v>
      </c>
      <c r="P12" t="s">
        <v>34</v>
      </c>
      <c r="Q12" s="1">
        <v>42731</v>
      </c>
      <c r="R12" t="s">
        <v>43</v>
      </c>
      <c r="S12" t="s">
        <v>44</v>
      </c>
      <c r="T12" s="1">
        <v>42912</v>
      </c>
      <c r="U12" t="s">
        <v>31</v>
      </c>
      <c r="V12" t="s">
        <v>31</v>
      </c>
      <c r="W12" t="s">
        <v>31</v>
      </c>
    </row>
    <row r="13" spans="1:23" x14ac:dyDescent="0.2">
      <c r="A13" t="s">
        <v>20</v>
      </c>
      <c r="B13" t="s">
        <v>20</v>
      </c>
      <c r="C13" t="s">
        <v>21</v>
      </c>
      <c r="D13" t="s">
        <v>22</v>
      </c>
      <c r="E13" t="s">
        <v>23</v>
      </c>
      <c r="F13" t="s">
        <v>207</v>
      </c>
      <c r="G13" t="s">
        <v>208</v>
      </c>
      <c r="H13" t="s">
        <v>209</v>
      </c>
      <c r="I13" t="s">
        <v>210</v>
      </c>
      <c r="J13" t="s">
        <v>27</v>
      </c>
      <c r="K13" t="s">
        <v>211</v>
      </c>
      <c r="L13" t="s">
        <v>106</v>
      </c>
      <c r="M13" t="s">
        <v>30</v>
      </c>
      <c r="N13" t="s">
        <v>32</v>
      </c>
      <c r="O13" t="s">
        <v>212</v>
      </c>
      <c r="P13" t="s">
        <v>34</v>
      </c>
      <c r="Q13" s="1">
        <v>42731</v>
      </c>
      <c r="R13" t="s">
        <v>43</v>
      </c>
      <c r="S13" t="s">
        <v>44</v>
      </c>
      <c r="T13" s="1">
        <v>42912</v>
      </c>
      <c r="U13" t="s">
        <v>31</v>
      </c>
      <c r="V13" t="s">
        <v>31</v>
      </c>
      <c r="W13" t="s">
        <v>31</v>
      </c>
    </row>
    <row r="14" spans="1:23" x14ac:dyDescent="0.2">
      <c r="A14" t="s">
        <v>20</v>
      </c>
      <c r="B14" t="s">
        <v>20</v>
      </c>
      <c r="C14" t="s">
        <v>21</v>
      </c>
      <c r="D14" t="s">
        <v>22</v>
      </c>
      <c r="E14" t="s">
        <v>23</v>
      </c>
      <c r="F14" t="s">
        <v>168</v>
      </c>
      <c r="G14" t="s">
        <v>169</v>
      </c>
      <c r="H14" t="s">
        <v>170</v>
      </c>
      <c r="I14" t="s">
        <v>170</v>
      </c>
      <c r="J14" t="s">
        <v>27</v>
      </c>
      <c r="K14" t="s">
        <v>152</v>
      </c>
      <c r="L14" t="s">
        <v>171</v>
      </c>
      <c r="M14" t="s">
        <v>30</v>
      </c>
      <c r="N14" t="s">
        <v>32</v>
      </c>
      <c r="O14" t="s">
        <v>172</v>
      </c>
      <c r="P14" t="s">
        <v>34</v>
      </c>
      <c r="Q14" s="1">
        <v>42760</v>
      </c>
      <c r="R14" t="s">
        <v>43</v>
      </c>
      <c r="S14" t="s">
        <v>44</v>
      </c>
      <c r="T14" s="1">
        <v>42913</v>
      </c>
      <c r="U14" t="s">
        <v>31</v>
      </c>
      <c r="V14" t="s">
        <v>31</v>
      </c>
      <c r="W14" t="s">
        <v>31</v>
      </c>
    </row>
    <row r="15" spans="1:23" x14ac:dyDescent="0.2">
      <c r="A15" t="s">
        <v>20</v>
      </c>
      <c r="B15" t="s">
        <v>20</v>
      </c>
      <c r="C15" t="s">
        <v>21</v>
      </c>
      <c r="D15" t="s">
        <v>22</v>
      </c>
      <c r="E15" t="s">
        <v>23</v>
      </c>
      <c r="F15" t="s">
        <v>173</v>
      </c>
      <c r="G15" t="s">
        <v>174</v>
      </c>
      <c r="H15" t="s">
        <v>175</v>
      </c>
      <c r="I15" t="s">
        <v>175</v>
      </c>
      <c r="J15" t="s">
        <v>27</v>
      </c>
      <c r="K15" t="s">
        <v>160</v>
      </c>
      <c r="L15" t="s">
        <v>176</v>
      </c>
      <c r="M15" t="s">
        <v>30</v>
      </c>
      <c r="N15" t="s">
        <v>32</v>
      </c>
      <c r="O15" t="s">
        <v>177</v>
      </c>
      <c r="P15" t="s">
        <v>34</v>
      </c>
      <c r="Q15" s="1">
        <v>42760</v>
      </c>
      <c r="R15" t="s">
        <v>43</v>
      </c>
      <c r="S15" t="s">
        <v>44</v>
      </c>
      <c r="T15" s="1">
        <v>42913</v>
      </c>
      <c r="U15" t="s">
        <v>31</v>
      </c>
      <c r="V15" t="s">
        <v>31</v>
      </c>
      <c r="W15" t="s">
        <v>31</v>
      </c>
    </row>
    <row r="16" spans="1:23" x14ac:dyDescent="0.2">
      <c r="A16" t="s">
        <v>20</v>
      </c>
      <c r="B16" t="s">
        <v>20</v>
      </c>
      <c r="C16" t="s">
        <v>21</v>
      </c>
      <c r="D16" t="s">
        <v>22</v>
      </c>
      <c r="E16" t="s">
        <v>23</v>
      </c>
      <c r="F16" t="s">
        <v>185</v>
      </c>
      <c r="G16">
        <v>40003199078</v>
      </c>
      <c r="H16" t="s">
        <v>186</v>
      </c>
      <c r="I16" t="s">
        <v>186</v>
      </c>
      <c r="J16" t="s">
        <v>27</v>
      </c>
      <c r="K16" t="s">
        <v>183</v>
      </c>
      <c r="L16" t="s">
        <v>106</v>
      </c>
      <c r="M16" t="s">
        <v>30</v>
      </c>
      <c r="N16" t="s">
        <v>32</v>
      </c>
      <c r="O16" t="s">
        <v>187</v>
      </c>
      <c r="P16" t="s">
        <v>34</v>
      </c>
      <c r="Q16" s="1">
        <v>42760</v>
      </c>
      <c r="R16" t="s">
        <v>43</v>
      </c>
      <c r="S16" t="s">
        <v>44</v>
      </c>
      <c r="T16" s="1">
        <v>42913</v>
      </c>
      <c r="U16" t="s">
        <v>31</v>
      </c>
      <c r="V16" t="s">
        <v>31</v>
      </c>
      <c r="W16" t="s">
        <v>31</v>
      </c>
    </row>
    <row r="17" spans="1:23" x14ac:dyDescent="0.2">
      <c r="A17" t="s">
        <v>20</v>
      </c>
      <c r="B17" t="s">
        <v>20</v>
      </c>
      <c r="C17" t="s">
        <v>21</v>
      </c>
      <c r="D17" t="s">
        <v>22</v>
      </c>
      <c r="E17" t="s">
        <v>23</v>
      </c>
      <c r="F17" t="s">
        <v>193</v>
      </c>
      <c r="G17" t="s">
        <v>194</v>
      </c>
      <c r="H17" t="s">
        <v>195</v>
      </c>
      <c r="I17" t="s">
        <v>195</v>
      </c>
      <c r="J17" t="s">
        <v>27</v>
      </c>
      <c r="K17" t="s">
        <v>160</v>
      </c>
      <c r="L17" t="s">
        <v>196</v>
      </c>
      <c r="M17" t="s">
        <v>30</v>
      </c>
      <c r="N17" t="s">
        <v>32</v>
      </c>
      <c r="O17" t="s">
        <v>197</v>
      </c>
      <c r="P17" t="s">
        <v>34</v>
      </c>
      <c r="Q17" s="1">
        <v>42760</v>
      </c>
      <c r="R17" t="s">
        <v>43</v>
      </c>
      <c r="S17" t="s">
        <v>44</v>
      </c>
      <c r="T17" s="1">
        <v>42913</v>
      </c>
      <c r="U17" t="s">
        <v>31</v>
      </c>
      <c r="V17" t="s">
        <v>31</v>
      </c>
      <c r="W17" t="s">
        <v>31</v>
      </c>
    </row>
    <row r="18" spans="1:23" x14ac:dyDescent="0.2">
      <c r="A18" t="s">
        <v>20</v>
      </c>
      <c r="B18" t="s">
        <v>20</v>
      </c>
      <c r="C18" t="s">
        <v>21</v>
      </c>
      <c r="D18" t="s">
        <v>22</v>
      </c>
      <c r="E18" t="s">
        <v>23</v>
      </c>
      <c r="F18" t="s">
        <v>149</v>
      </c>
      <c r="G18" t="s">
        <v>150</v>
      </c>
      <c r="H18" t="s">
        <v>151</v>
      </c>
      <c r="I18" t="s">
        <v>151</v>
      </c>
      <c r="J18" t="s">
        <v>27</v>
      </c>
      <c r="K18" t="s">
        <v>152</v>
      </c>
      <c r="L18" t="s">
        <v>153</v>
      </c>
      <c r="M18" t="s">
        <v>30</v>
      </c>
      <c r="N18" t="s">
        <v>32</v>
      </c>
      <c r="O18" t="s">
        <v>154</v>
      </c>
      <c r="P18" t="s">
        <v>34</v>
      </c>
      <c r="Q18" s="1">
        <v>42769</v>
      </c>
      <c r="R18" t="s">
        <v>43</v>
      </c>
      <c r="S18" t="s">
        <v>44</v>
      </c>
      <c r="T18" s="1">
        <v>42913</v>
      </c>
      <c r="U18" t="s">
        <v>31</v>
      </c>
      <c r="V18" t="s">
        <v>31</v>
      </c>
      <c r="W18" t="s">
        <v>31</v>
      </c>
    </row>
    <row r="19" spans="1:23" x14ac:dyDescent="0.2">
      <c r="A19" t="s">
        <v>20</v>
      </c>
      <c r="B19" t="s">
        <v>20</v>
      </c>
      <c r="C19" t="s">
        <v>21</v>
      </c>
      <c r="D19" t="s">
        <v>22</v>
      </c>
      <c r="E19" t="s">
        <v>23</v>
      </c>
      <c r="F19" t="s">
        <v>188</v>
      </c>
      <c r="G19" t="s">
        <v>189</v>
      </c>
      <c r="H19" t="s">
        <v>190</v>
      </c>
      <c r="I19" t="s">
        <v>190</v>
      </c>
      <c r="J19" t="s">
        <v>27</v>
      </c>
      <c r="K19" t="s">
        <v>183</v>
      </c>
      <c r="L19" t="s">
        <v>191</v>
      </c>
      <c r="M19" t="s">
        <v>30</v>
      </c>
      <c r="N19" t="s">
        <v>32</v>
      </c>
      <c r="O19" t="s">
        <v>192</v>
      </c>
      <c r="P19" t="s">
        <v>34</v>
      </c>
      <c r="Q19" s="1">
        <v>42769</v>
      </c>
      <c r="R19" t="s">
        <v>43</v>
      </c>
      <c r="S19" t="s">
        <v>44</v>
      </c>
      <c r="T19" s="1">
        <v>42913</v>
      </c>
      <c r="U19" t="s">
        <v>31</v>
      </c>
      <c r="V19" t="s">
        <v>31</v>
      </c>
      <c r="W19" t="s">
        <v>31</v>
      </c>
    </row>
    <row r="20" spans="1:23" x14ac:dyDescent="0.2">
      <c r="A20" t="s">
        <v>20</v>
      </c>
      <c r="B20" t="s">
        <v>20</v>
      </c>
      <c r="C20" t="s">
        <v>21</v>
      </c>
      <c r="D20" t="s">
        <v>22</v>
      </c>
      <c r="E20" t="s">
        <v>23</v>
      </c>
      <c r="F20" t="s">
        <v>198</v>
      </c>
      <c r="G20" t="s">
        <v>199</v>
      </c>
      <c r="H20" t="s">
        <v>200</v>
      </c>
      <c r="I20" t="s">
        <v>200</v>
      </c>
      <c r="J20" t="s">
        <v>27</v>
      </c>
      <c r="K20" t="s">
        <v>166</v>
      </c>
      <c r="L20" t="s">
        <v>201</v>
      </c>
      <c r="M20" t="s">
        <v>30</v>
      </c>
      <c r="N20" t="s">
        <v>32</v>
      </c>
      <c r="O20" t="s">
        <v>202</v>
      </c>
      <c r="P20" t="s">
        <v>34</v>
      </c>
      <c r="Q20" s="1">
        <v>42993</v>
      </c>
      <c r="R20" t="s">
        <v>43</v>
      </c>
      <c r="S20" t="s">
        <v>44</v>
      </c>
      <c r="T20" s="1">
        <v>43007</v>
      </c>
      <c r="U20" t="s">
        <v>31</v>
      </c>
      <c r="V20" t="s">
        <v>31</v>
      </c>
      <c r="W20" t="s">
        <v>31</v>
      </c>
    </row>
    <row r="21" spans="1:23" x14ac:dyDescent="0.2">
      <c r="A21" t="s">
        <v>20</v>
      </c>
      <c r="B21" t="s">
        <v>20</v>
      </c>
      <c r="C21" t="s">
        <v>21</v>
      </c>
      <c r="D21" t="s">
        <v>22</v>
      </c>
      <c r="E21" t="s">
        <v>23</v>
      </c>
      <c r="F21" t="s">
        <v>73</v>
      </c>
      <c r="G21" t="s">
        <v>74</v>
      </c>
      <c r="H21" t="s">
        <v>75</v>
      </c>
      <c r="I21" t="s">
        <v>76</v>
      </c>
      <c r="J21" t="s">
        <v>27</v>
      </c>
      <c r="K21" t="s">
        <v>40</v>
      </c>
      <c r="L21" t="s">
        <v>77</v>
      </c>
      <c r="M21" t="s">
        <v>30</v>
      </c>
      <c r="N21" t="s">
        <v>32</v>
      </c>
      <c r="O21" t="s">
        <v>78</v>
      </c>
      <c r="P21" t="s">
        <v>34</v>
      </c>
      <c r="Q21" s="1">
        <v>43707</v>
      </c>
      <c r="R21" t="s">
        <v>43</v>
      </c>
      <c r="S21" t="s">
        <v>44</v>
      </c>
      <c r="T21" s="1">
        <v>43733</v>
      </c>
      <c r="U21" t="s">
        <v>31</v>
      </c>
      <c r="V21" t="s">
        <v>31</v>
      </c>
      <c r="W21" t="s">
        <v>31</v>
      </c>
    </row>
    <row r="22" spans="1:23" x14ac:dyDescent="0.2">
      <c r="A22" t="s">
        <v>20</v>
      </c>
      <c r="B22" t="s">
        <v>20</v>
      </c>
      <c r="C22" t="s">
        <v>21</v>
      </c>
      <c r="D22" t="s">
        <v>22</v>
      </c>
      <c r="E22" t="s">
        <v>23</v>
      </c>
      <c r="F22" t="s">
        <v>79</v>
      </c>
      <c r="G22" t="s">
        <v>80</v>
      </c>
      <c r="H22" t="s">
        <v>81</v>
      </c>
      <c r="I22" t="s">
        <v>81</v>
      </c>
      <c r="J22" t="s">
        <v>27</v>
      </c>
      <c r="K22" t="s">
        <v>40</v>
      </c>
      <c r="L22" t="s">
        <v>82</v>
      </c>
      <c r="M22" t="s">
        <v>30</v>
      </c>
      <c r="N22" t="s">
        <v>32</v>
      </c>
      <c r="O22" t="s">
        <v>42</v>
      </c>
      <c r="P22" t="s">
        <v>34</v>
      </c>
      <c r="Q22" s="1">
        <v>43720</v>
      </c>
      <c r="R22" t="s">
        <v>43</v>
      </c>
      <c r="S22" t="s">
        <v>44</v>
      </c>
      <c r="T22" s="1">
        <v>43733</v>
      </c>
      <c r="U22" t="s">
        <v>31</v>
      </c>
      <c r="V22" t="s">
        <v>31</v>
      </c>
      <c r="W22" t="s">
        <v>31</v>
      </c>
    </row>
    <row r="23" spans="1:23" x14ac:dyDescent="0.2">
      <c r="A23" t="s">
        <v>20</v>
      </c>
      <c r="B23" t="s">
        <v>20</v>
      </c>
      <c r="C23" t="s">
        <v>21</v>
      </c>
      <c r="D23" t="s">
        <v>22</v>
      </c>
      <c r="E23" t="s">
        <v>23</v>
      </c>
      <c r="F23" t="s">
        <v>83</v>
      </c>
      <c r="G23" t="s">
        <v>84</v>
      </c>
      <c r="H23" t="s">
        <v>85</v>
      </c>
      <c r="I23" t="s">
        <v>86</v>
      </c>
      <c r="J23" t="s">
        <v>27</v>
      </c>
      <c r="K23" t="s">
        <v>40</v>
      </c>
      <c r="L23" t="s">
        <v>87</v>
      </c>
      <c r="M23" t="s">
        <v>30</v>
      </c>
      <c r="N23" t="s">
        <v>32</v>
      </c>
      <c r="O23" t="s">
        <v>88</v>
      </c>
      <c r="P23" t="s">
        <v>34</v>
      </c>
      <c r="Q23" s="1">
        <v>43734</v>
      </c>
      <c r="R23" t="s">
        <v>43</v>
      </c>
      <c r="S23" t="s">
        <v>44</v>
      </c>
      <c r="T23" s="1">
        <v>43845</v>
      </c>
      <c r="U23" t="s">
        <v>31</v>
      </c>
      <c r="V23" t="s">
        <v>31</v>
      </c>
      <c r="W23" t="s">
        <v>31</v>
      </c>
    </row>
    <row r="24" spans="1:23" x14ac:dyDescent="0.2">
      <c r="A24" t="s">
        <v>20</v>
      </c>
      <c r="B24" t="s">
        <v>20</v>
      </c>
      <c r="C24" t="s">
        <v>21</v>
      </c>
      <c r="D24" t="s">
        <v>22</v>
      </c>
      <c r="E24" t="s">
        <v>23</v>
      </c>
      <c r="F24" t="s">
        <v>98</v>
      </c>
      <c r="G24" t="s">
        <v>99</v>
      </c>
      <c r="H24" t="s">
        <v>100</v>
      </c>
      <c r="I24" t="s">
        <v>101</v>
      </c>
      <c r="J24" t="s">
        <v>27</v>
      </c>
      <c r="K24" t="s">
        <v>40</v>
      </c>
      <c r="L24" t="s">
        <v>41</v>
      </c>
      <c r="M24" t="s">
        <v>30</v>
      </c>
      <c r="N24" t="s">
        <v>32</v>
      </c>
      <c r="O24" t="s">
        <v>42</v>
      </c>
      <c r="P24" t="s">
        <v>34</v>
      </c>
      <c r="Q24" s="1">
        <v>43734</v>
      </c>
      <c r="R24" t="s">
        <v>43</v>
      </c>
      <c r="S24" t="s">
        <v>44</v>
      </c>
      <c r="T24" s="1">
        <v>43845</v>
      </c>
      <c r="U24" t="s">
        <v>31</v>
      </c>
      <c r="V24" t="s">
        <v>31</v>
      </c>
      <c r="W24" t="s">
        <v>31</v>
      </c>
    </row>
    <row r="25" spans="1:23" x14ac:dyDescent="0.2">
      <c r="A25" t="s">
        <v>20</v>
      </c>
      <c r="B25" t="s">
        <v>20</v>
      </c>
      <c r="C25" t="s">
        <v>21</v>
      </c>
      <c r="D25" t="s">
        <v>22</v>
      </c>
      <c r="E25" t="s">
        <v>23</v>
      </c>
      <c r="F25" t="s">
        <v>93</v>
      </c>
      <c r="G25" t="s">
        <v>94</v>
      </c>
      <c r="H25" t="s">
        <v>95</v>
      </c>
      <c r="I25" t="s">
        <v>95</v>
      </c>
      <c r="J25" t="s">
        <v>27</v>
      </c>
      <c r="K25" t="s">
        <v>40</v>
      </c>
      <c r="L25" t="s">
        <v>96</v>
      </c>
      <c r="M25" t="s">
        <v>30</v>
      </c>
      <c r="N25" t="s">
        <v>32</v>
      </c>
      <c r="O25" t="s">
        <v>97</v>
      </c>
      <c r="P25" t="s">
        <v>34</v>
      </c>
      <c r="Q25" s="1">
        <v>43759</v>
      </c>
      <c r="R25" t="s">
        <v>43</v>
      </c>
      <c r="S25" t="s">
        <v>44</v>
      </c>
      <c r="T25" s="1">
        <v>43845</v>
      </c>
      <c r="U25" t="s">
        <v>31</v>
      </c>
      <c r="V25" t="s">
        <v>31</v>
      </c>
      <c r="W25" t="s">
        <v>31</v>
      </c>
    </row>
    <row r="26" spans="1:23" x14ac:dyDescent="0.2">
      <c r="A26" t="s">
        <v>20</v>
      </c>
      <c r="B26" t="s">
        <v>20</v>
      </c>
      <c r="C26" t="s">
        <v>21</v>
      </c>
      <c r="D26" t="s">
        <v>22</v>
      </c>
      <c r="E26" t="s">
        <v>23</v>
      </c>
      <c r="F26" t="s">
        <v>102</v>
      </c>
      <c r="G26" t="s">
        <v>103</v>
      </c>
      <c r="H26" t="s">
        <v>104</v>
      </c>
      <c r="I26" t="s">
        <v>105</v>
      </c>
      <c r="J26" t="s">
        <v>27</v>
      </c>
      <c r="K26" t="s">
        <v>40</v>
      </c>
      <c r="L26" t="s">
        <v>106</v>
      </c>
      <c r="M26" t="s">
        <v>30</v>
      </c>
      <c r="N26" t="s">
        <v>32</v>
      </c>
      <c r="O26" t="s">
        <v>107</v>
      </c>
      <c r="P26" t="s">
        <v>34</v>
      </c>
      <c r="Q26" s="1">
        <v>43759</v>
      </c>
      <c r="R26" t="s">
        <v>43</v>
      </c>
      <c r="S26" t="s">
        <v>44</v>
      </c>
      <c r="T26" s="1">
        <v>43845</v>
      </c>
      <c r="U26" t="s">
        <v>31</v>
      </c>
      <c r="V26" t="s">
        <v>31</v>
      </c>
      <c r="W26" t="s">
        <v>31</v>
      </c>
    </row>
    <row r="27" spans="1:23" x14ac:dyDescent="0.2">
      <c r="A27" t="s">
        <v>20</v>
      </c>
      <c r="B27" t="s">
        <v>20</v>
      </c>
      <c r="C27" t="s">
        <v>21</v>
      </c>
      <c r="D27" t="s">
        <v>22</v>
      </c>
      <c r="E27" t="s">
        <v>23</v>
      </c>
      <c r="F27" t="s">
        <v>108</v>
      </c>
      <c r="G27" t="s">
        <v>109</v>
      </c>
      <c r="H27" t="s">
        <v>110</v>
      </c>
      <c r="I27" t="s">
        <v>110</v>
      </c>
      <c r="J27" t="s">
        <v>27</v>
      </c>
      <c r="K27" t="s">
        <v>40</v>
      </c>
      <c r="L27" t="s">
        <v>111</v>
      </c>
      <c r="M27" t="s">
        <v>30</v>
      </c>
      <c r="N27" t="s">
        <v>32</v>
      </c>
      <c r="O27" t="s">
        <v>112</v>
      </c>
      <c r="P27" t="s">
        <v>34</v>
      </c>
      <c r="Q27" s="1">
        <v>43766</v>
      </c>
      <c r="R27" t="s">
        <v>43</v>
      </c>
      <c r="S27" t="s">
        <v>44</v>
      </c>
      <c r="T27" s="1">
        <v>43845</v>
      </c>
      <c r="U27" t="s">
        <v>31</v>
      </c>
      <c r="V27" t="s">
        <v>31</v>
      </c>
      <c r="W27" t="s">
        <v>31</v>
      </c>
    </row>
    <row r="28" spans="1:23" x14ac:dyDescent="0.2">
      <c r="A28" t="s">
        <v>20</v>
      </c>
      <c r="B28" t="s">
        <v>20</v>
      </c>
      <c r="C28" t="s">
        <v>21</v>
      </c>
      <c r="D28" t="s">
        <v>22</v>
      </c>
      <c r="E28" t="s">
        <v>23</v>
      </c>
      <c r="F28" t="s">
        <v>117</v>
      </c>
      <c r="G28" t="s">
        <v>118</v>
      </c>
      <c r="H28" t="s">
        <v>119</v>
      </c>
      <c r="I28" t="s">
        <v>119</v>
      </c>
      <c r="J28" t="s">
        <v>27</v>
      </c>
      <c r="K28" t="s">
        <v>40</v>
      </c>
      <c r="L28" t="s">
        <v>48</v>
      </c>
      <c r="M28" t="s">
        <v>30</v>
      </c>
      <c r="N28" t="s">
        <v>32</v>
      </c>
      <c r="O28" t="s">
        <v>120</v>
      </c>
      <c r="P28" t="s">
        <v>34</v>
      </c>
      <c r="Q28" s="1">
        <v>43812</v>
      </c>
      <c r="R28" t="s">
        <v>43</v>
      </c>
      <c r="S28" t="s">
        <v>44</v>
      </c>
      <c r="T28" s="1">
        <v>43924</v>
      </c>
      <c r="U28" t="s">
        <v>31</v>
      </c>
      <c r="V28" t="s">
        <v>31</v>
      </c>
      <c r="W28" t="s">
        <v>31</v>
      </c>
    </row>
    <row r="29" spans="1:23" x14ac:dyDescent="0.2">
      <c r="A29" t="s">
        <v>20</v>
      </c>
      <c r="B29" t="s">
        <v>20</v>
      </c>
      <c r="C29" t="s">
        <v>21</v>
      </c>
      <c r="D29" t="s">
        <v>22</v>
      </c>
      <c r="E29" t="s">
        <v>23</v>
      </c>
      <c r="F29" t="s">
        <v>113</v>
      </c>
      <c r="G29" t="s">
        <v>114</v>
      </c>
      <c r="H29" t="s">
        <v>115</v>
      </c>
      <c r="I29" t="s">
        <v>115</v>
      </c>
      <c r="J29" t="s">
        <v>27</v>
      </c>
      <c r="K29" t="s">
        <v>40</v>
      </c>
      <c r="L29" t="s">
        <v>41</v>
      </c>
      <c r="M29" t="s">
        <v>30</v>
      </c>
      <c r="N29" t="s">
        <v>32</v>
      </c>
      <c r="O29" t="s">
        <v>116</v>
      </c>
      <c r="P29" t="s">
        <v>34</v>
      </c>
      <c r="Q29" s="1">
        <v>43815</v>
      </c>
      <c r="R29" t="s">
        <v>43</v>
      </c>
      <c r="S29" t="s">
        <v>44</v>
      </c>
      <c r="T29" s="1">
        <v>43924</v>
      </c>
      <c r="U29" t="s">
        <v>31</v>
      </c>
      <c r="V29" t="s">
        <v>31</v>
      </c>
      <c r="W29" t="s">
        <v>31</v>
      </c>
    </row>
    <row r="30" spans="1:23" x14ac:dyDescent="0.2">
      <c r="A30" t="s">
        <v>20</v>
      </c>
      <c r="B30" t="s">
        <v>20</v>
      </c>
      <c r="C30" t="s">
        <v>21</v>
      </c>
      <c r="D30" t="s">
        <v>22</v>
      </c>
      <c r="E30" t="s">
        <v>23</v>
      </c>
      <c r="F30" t="s">
        <v>89</v>
      </c>
      <c r="G30" t="s">
        <v>90</v>
      </c>
      <c r="H30" t="s">
        <v>91</v>
      </c>
      <c r="I30" t="s">
        <v>91</v>
      </c>
      <c r="J30" t="s">
        <v>27</v>
      </c>
      <c r="K30" t="s">
        <v>40</v>
      </c>
      <c r="L30" t="s">
        <v>82</v>
      </c>
      <c r="M30" t="s">
        <v>30</v>
      </c>
      <c r="N30" t="s">
        <v>32</v>
      </c>
      <c r="O30" t="s">
        <v>92</v>
      </c>
      <c r="P30" t="s">
        <v>34</v>
      </c>
      <c r="Q30" s="1">
        <v>43901</v>
      </c>
      <c r="R30" t="s">
        <v>43</v>
      </c>
      <c r="S30" t="s">
        <v>44</v>
      </c>
      <c r="T30" s="1">
        <v>44012</v>
      </c>
      <c r="U30" t="s">
        <v>31</v>
      </c>
      <c r="V30" t="s">
        <v>31</v>
      </c>
      <c r="W30" t="s">
        <v>31</v>
      </c>
    </row>
    <row r="31" spans="1:23" x14ac:dyDescent="0.2">
      <c r="A31" t="s">
        <v>20</v>
      </c>
      <c r="B31" t="s">
        <v>20</v>
      </c>
      <c r="C31" t="s">
        <v>21</v>
      </c>
      <c r="D31" t="s">
        <v>22</v>
      </c>
      <c r="E31" t="s">
        <v>23</v>
      </c>
      <c r="F31" t="s">
        <v>45</v>
      </c>
      <c r="G31" t="s">
        <v>46</v>
      </c>
      <c r="H31" t="s">
        <v>47</v>
      </c>
      <c r="I31" t="s">
        <v>47</v>
      </c>
      <c r="J31" t="s">
        <v>27</v>
      </c>
      <c r="K31" t="s">
        <v>40</v>
      </c>
      <c r="L31" t="s">
        <v>48</v>
      </c>
      <c r="M31" t="s">
        <v>30</v>
      </c>
      <c r="N31" t="s">
        <v>32</v>
      </c>
      <c r="O31" t="s">
        <v>49</v>
      </c>
      <c r="P31" t="s">
        <v>34</v>
      </c>
      <c r="Q31" s="1">
        <v>43928</v>
      </c>
      <c r="R31" t="s">
        <v>43</v>
      </c>
      <c r="S31" t="s">
        <v>44</v>
      </c>
      <c r="T31" s="1">
        <v>44012</v>
      </c>
      <c r="U31" t="s">
        <v>31</v>
      </c>
      <c r="V31" t="s">
        <v>31</v>
      </c>
      <c r="W31" t="s">
        <v>31</v>
      </c>
    </row>
    <row r="32" spans="1:23" x14ac:dyDescent="0.2">
      <c r="A32" t="s">
        <v>20</v>
      </c>
      <c r="B32" t="s">
        <v>20</v>
      </c>
      <c r="C32" t="s">
        <v>21</v>
      </c>
      <c r="D32" t="s">
        <v>22</v>
      </c>
      <c r="E32" t="s">
        <v>23</v>
      </c>
      <c r="F32" t="s">
        <v>50</v>
      </c>
      <c r="G32" t="s">
        <v>51</v>
      </c>
      <c r="H32" t="s">
        <v>52</v>
      </c>
      <c r="I32" t="s">
        <v>53</v>
      </c>
      <c r="J32" t="s">
        <v>27</v>
      </c>
      <c r="K32" t="s">
        <v>40</v>
      </c>
      <c r="L32" t="s">
        <v>54</v>
      </c>
      <c r="M32" t="s">
        <v>30</v>
      </c>
      <c r="N32" t="s">
        <v>32</v>
      </c>
      <c r="O32" t="s">
        <v>55</v>
      </c>
      <c r="P32" t="s">
        <v>34</v>
      </c>
      <c r="Q32" s="1">
        <v>43929</v>
      </c>
      <c r="R32" t="s">
        <v>43</v>
      </c>
      <c r="S32" t="s">
        <v>44</v>
      </c>
      <c r="T32" s="1">
        <v>44012</v>
      </c>
      <c r="U32" t="s">
        <v>31</v>
      </c>
      <c r="V32" t="s">
        <v>31</v>
      </c>
      <c r="W32" t="s">
        <v>31</v>
      </c>
    </row>
    <row r="33" spans="1:23" x14ac:dyDescent="0.2">
      <c r="A33" t="s">
        <v>20</v>
      </c>
      <c r="B33" t="s">
        <v>20</v>
      </c>
      <c r="C33" t="s">
        <v>21</v>
      </c>
      <c r="D33" t="s">
        <v>22</v>
      </c>
      <c r="E33" t="s">
        <v>23</v>
      </c>
      <c r="F33" t="s">
        <v>56</v>
      </c>
      <c r="G33" t="s">
        <v>57</v>
      </c>
      <c r="H33" t="s">
        <v>58</v>
      </c>
      <c r="I33" t="s">
        <v>58</v>
      </c>
      <c r="J33" t="s">
        <v>27</v>
      </c>
      <c r="K33" t="s">
        <v>40</v>
      </c>
      <c r="L33" t="s">
        <v>59</v>
      </c>
      <c r="M33" t="s">
        <v>30</v>
      </c>
      <c r="N33" t="s">
        <v>32</v>
      </c>
      <c r="O33" t="s">
        <v>60</v>
      </c>
      <c r="P33" t="s">
        <v>34</v>
      </c>
      <c r="Q33" s="1">
        <v>43930</v>
      </c>
      <c r="R33" t="s">
        <v>43</v>
      </c>
      <c r="S33" t="s">
        <v>44</v>
      </c>
      <c r="T33" s="1">
        <v>44012</v>
      </c>
      <c r="U33" t="s">
        <v>31</v>
      </c>
      <c r="V33" t="s">
        <v>31</v>
      </c>
      <c r="W33" t="s">
        <v>31</v>
      </c>
    </row>
    <row r="34" spans="1:23" x14ac:dyDescent="0.2">
      <c r="A34" t="s">
        <v>20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G34" t="s">
        <v>25</v>
      </c>
      <c r="H34" t="s">
        <v>26</v>
      </c>
      <c r="I34" t="s">
        <v>26</v>
      </c>
      <c r="J34" t="s">
        <v>27</v>
      </c>
      <c r="K34" t="s">
        <v>28</v>
      </c>
      <c r="L34" t="s">
        <v>29</v>
      </c>
      <c r="M34" t="s">
        <v>30</v>
      </c>
      <c r="N34" t="s">
        <v>32</v>
      </c>
      <c r="O34" t="s">
        <v>33</v>
      </c>
      <c r="P34" t="s">
        <v>34</v>
      </c>
      <c r="Q34" s="1">
        <v>44081</v>
      </c>
      <c r="R34" t="s">
        <v>35</v>
      </c>
      <c r="S34" t="s">
        <v>36</v>
      </c>
      <c r="T34" s="1">
        <v>44936</v>
      </c>
      <c r="U34" t="s">
        <v>31</v>
      </c>
      <c r="V34" t="s">
        <v>31</v>
      </c>
      <c r="W34" t="s">
        <v>31</v>
      </c>
    </row>
    <row r="35" spans="1:23" x14ac:dyDescent="0.2">
      <c r="A35" t="s">
        <v>20</v>
      </c>
      <c r="B35" t="s">
        <v>20</v>
      </c>
      <c r="C35" t="s">
        <v>21</v>
      </c>
      <c r="D35" t="s">
        <v>22</v>
      </c>
      <c r="E35" t="s">
        <v>23</v>
      </c>
      <c r="F35" t="s">
        <v>67</v>
      </c>
      <c r="G35" t="s">
        <v>68</v>
      </c>
      <c r="H35" t="s">
        <v>69</v>
      </c>
      <c r="I35" t="s">
        <v>70</v>
      </c>
      <c r="J35" t="s">
        <v>27</v>
      </c>
      <c r="K35" t="s">
        <v>40</v>
      </c>
      <c r="L35" t="s">
        <v>71</v>
      </c>
      <c r="M35" t="s">
        <v>30</v>
      </c>
      <c r="N35" t="s">
        <v>32</v>
      </c>
      <c r="O35" t="s">
        <v>72</v>
      </c>
      <c r="P35" t="s">
        <v>34</v>
      </c>
      <c r="Q35" s="1">
        <v>44183</v>
      </c>
      <c r="R35" t="s">
        <v>43</v>
      </c>
      <c r="S35" t="s">
        <v>44</v>
      </c>
      <c r="T35" s="1">
        <v>44281</v>
      </c>
      <c r="U35" t="s">
        <v>31</v>
      </c>
      <c r="V35" t="s">
        <v>31</v>
      </c>
      <c r="W35" t="s">
        <v>31</v>
      </c>
    </row>
    <row r="36" spans="1:23" x14ac:dyDescent="0.2">
      <c r="A36" t="s">
        <v>20</v>
      </c>
      <c r="B36" t="s">
        <v>20</v>
      </c>
      <c r="C36" t="s">
        <v>21</v>
      </c>
      <c r="D36" t="s">
        <v>22</v>
      </c>
      <c r="E36" t="s">
        <v>23</v>
      </c>
      <c r="F36" t="s">
        <v>37</v>
      </c>
      <c r="G36" t="s">
        <v>38</v>
      </c>
      <c r="H36" t="s">
        <v>39</v>
      </c>
      <c r="I36" t="s">
        <v>39</v>
      </c>
      <c r="J36" t="s">
        <v>27</v>
      </c>
      <c r="K36" t="s">
        <v>40</v>
      </c>
      <c r="L36" t="s">
        <v>41</v>
      </c>
      <c r="M36" t="s">
        <v>30</v>
      </c>
      <c r="N36" t="s">
        <v>32</v>
      </c>
      <c r="O36" t="s">
        <v>42</v>
      </c>
      <c r="P36" t="s">
        <v>34</v>
      </c>
      <c r="Q36" s="1">
        <v>44187</v>
      </c>
      <c r="R36" t="s">
        <v>43</v>
      </c>
      <c r="S36" t="s">
        <v>44</v>
      </c>
      <c r="T36" s="1">
        <v>44281</v>
      </c>
      <c r="U36" t="s">
        <v>31</v>
      </c>
      <c r="V36" t="s">
        <v>31</v>
      </c>
      <c r="W36" t="s">
        <v>31</v>
      </c>
    </row>
    <row r="37" spans="1:23" x14ac:dyDescent="0.2">
      <c r="A37" t="s">
        <v>20</v>
      </c>
      <c r="B37" t="s">
        <v>20</v>
      </c>
      <c r="C37" t="s">
        <v>21</v>
      </c>
      <c r="D37" t="s">
        <v>22</v>
      </c>
      <c r="E37" t="s">
        <v>23</v>
      </c>
      <c r="F37" t="s">
        <v>61</v>
      </c>
      <c r="G37" t="s">
        <v>62</v>
      </c>
      <c r="H37" t="s">
        <v>63</v>
      </c>
      <c r="I37" t="s">
        <v>64</v>
      </c>
      <c r="J37" t="s">
        <v>27</v>
      </c>
      <c r="K37" t="s">
        <v>40</v>
      </c>
      <c r="L37" t="s">
        <v>65</v>
      </c>
      <c r="M37" t="s">
        <v>30</v>
      </c>
      <c r="N37" t="s">
        <v>32</v>
      </c>
      <c r="O37" t="s">
        <v>66</v>
      </c>
      <c r="P37" t="s">
        <v>34</v>
      </c>
      <c r="Q37" s="1">
        <v>44225</v>
      </c>
      <c r="R37" t="s">
        <v>43</v>
      </c>
      <c r="S37" t="s">
        <v>44</v>
      </c>
      <c r="T37" s="1">
        <v>44281</v>
      </c>
      <c r="U37" t="s">
        <v>31</v>
      </c>
      <c r="V37" t="s">
        <v>31</v>
      </c>
      <c r="W37" t="s">
        <v>31</v>
      </c>
    </row>
    <row r="39" spans="1:23" x14ac:dyDescent="0.2">
      <c r="N39" t="s">
        <v>363</v>
      </c>
      <c r="O39" s="95">
        <f>O2+O3+O4+O5+O6+O7+O8+O9+O10+O11+O12+O13+O14+O15+O16+O17+O18+O19+O20+O21+O22+O23+O24+O25+O26+O27+O28+O29+O30+O31+O32+O33+O34+O35+O36+O37</f>
        <v>35761224.909999996</v>
      </c>
    </row>
    <row r="40" spans="1:23" x14ac:dyDescent="0.2">
      <c r="O40" s="94">
        <v>35761225</v>
      </c>
    </row>
    <row r="42" spans="1:23" x14ac:dyDescent="0.2">
      <c r="Q42" t="s">
        <v>365</v>
      </c>
    </row>
    <row r="43" spans="1:23" x14ac:dyDescent="0.2">
      <c r="N43" t="s">
        <v>364</v>
      </c>
      <c r="O43">
        <f>Employees!AE31-Employees!AD31</f>
        <v>97</v>
      </c>
      <c r="Q43" s="105">
        <f>O39/O43</f>
        <v>368672.4217525773</v>
      </c>
    </row>
    <row r="44" spans="1:23" x14ac:dyDescent="0.2">
      <c r="O44">
        <f>Employees!AF31-Employees!AD31</f>
        <v>398</v>
      </c>
      <c r="Q44" s="105">
        <f>O39/O44</f>
        <v>89852.323894472356</v>
      </c>
    </row>
    <row r="45" spans="1:23" x14ac:dyDescent="0.2">
      <c r="O45">
        <f>Employees!AG31-Employees!AD31</f>
        <v>513</v>
      </c>
      <c r="Q45" s="105">
        <f>O39/O45</f>
        <v>69709.990077972703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0C27A-956A-3D47-AEB5-B3C8085C51A3}">
  <dimension ref="A1:K41"/>
  <sheetViews>
    <sheetView zoomScale="107" workbookViewId="0">
      <selection activeCell="C22" sqref="C22"/>
    </sheetView>
  </sheetViews>
  <sheetFormatPr baseColWidth="10" defaultRowHeight="15" x14ac:dyDescent="0.2"/>
  <cols>
    <col min="2" max="3" width="26" customWidth="1"/>
    <col min="5" max="5" width="38.33203125" customWidth="1"/>
  </cols>
  <sheetData>
    <row r="1" spans="1:11" x14ac:dyDescent="0.2">
      <c r="A1" s="28" t="s">
        <v>213</v>
      </c>
      <c r="B1" s="31" t="s">
        <v>214</v>
      </c>
      <c r="C1" s="31" t="s">
        <v>288</v>
      </c>
      <c r="D1" s="31" t="s">
        <v>215</v>
      </c>
      <c r="E1" s="31" t="s">
        <v>224</v>
      </c>
      <c r="F1" s="38" t="s">
        <v>219</v>
      </c>
      <c r="G1" s="40" t="s">
        <v>275</v>
      </c>
      <c r="H1" s="38" t="s">
        <v>276</v>
      </c>
      <c r="I1" s="38" t="s">
        <v>277</v>
      </c>
      <c r="J1" s="38" t="s">
        <v>278</v>
      </c>
      <c r="K1" s="38" t="s">
        <v>279</v>
      </c>
    </row>
    <row r="2" spans="1:11" x14ac:dyDescent="0.2">
      <c r="A2" s="32">
        <v>1</v>
      </c>
      <c r="B2" s="33" t="s">
        <v>123</v>
      </c>
      <c r="C2" s="102">
        <v>25.4</v>
      </c>
      <c r="D2" s="34" t="s">
        <v>216</v>
      </c>
      <c r="E2" s="33" t="s">
        <v>225</v>
      </c>
      <c r="F2" s="39" t="str">
        <f>Employees!O2</f>
        <v>Yes</v>
      </c>
      <c r="G2" s="41" t="str">
        <f>'Tangible assets'!O2</f>
        <v>Yes</v>
      </c>
      <c r="H2" s="39" t="str">
        <f>'Yearly Sales'!O2</f>
        <v>Yes</v>
      </c>
      <c r="I2" s="39" t="str">
        <f>'Investment (capex)'!O2</f>
        <v>Yes</v>
      </c>
      <c r="J2" s="39" t="str">
        <f>'Wages salaries'!O2</f>
        <v>Yes</v>
      </c>
      <c r="K2" s="39">
        <f>COUNTIF(F2:J2,"yes")</f>
        <v>5</v>
      </c>
    </row>
    <row r="3" spans="1:11" x14ac:dyDescent="0.2">
      <c r="A3" s="35">
        <f>A2+1</f>
        <v>2</v>
      </c>
      <c r="B3" t="s">
        <v>129</v>
      </c>
      <c r="C3" s="96">
        <v>25.11</v>
      </c>
      <c r="D3" t="s">
        <v>217</v>
      </c>
      <c r="E3" t="s">
        <v>225</v>
      </c>
      <c r="F3" s="39" t="str">
        <f>Employees!O3</f>
        <v>Yes</v>
      </c>
      <c r="G3" s="41" t="str">
        <f>'Tangible assets'!O3</f>
        <v>Yes</v>
      </c>
      <c r="H3" s="39" t="str">
        <f>'Yearly Sales'!O3</f>
        <v>Yes</v>
      </c>
      <c r="I3" s="39" t="str">
        <f>'Investment (capex)'!O3</f>
        <v>No</v>
      </c>
      <c r="J3" s="39" t="str">
        <f>'Wages salaries'!O3</f>
        <v>Yes</v>
      </c>
      <c r="K3" s="6">
        <f t="shared" ref="K3:K35" si="0">COUNTIF(F3:J3,"yes")</f>
        <v>4</v>
      </c>
    </row>
    <row r="4" spans="1:11" x14ac:dyDescent="0.2">
      <c r="A4" s="35">
        <f t="shared" ref="A4:A35" si="1">A3+1</f>
        <v>3</v>
      </c>
      <c r="B4" t="s">
        <v>144</v>
      </c>
      <c r="C4" s="96">
        <v>50.2</v>
      </c>
      <c r="D4" t="s">
        <v>218</v>
      </c>
      <c r="E4" t="s">
        <v>252</v>
      </c>
      <c r="F4" s="39" t="str">
        <f>Employees!O4</f>
        <v>No</v>
      </c>
      <c r="G4" s="41" t="str">
        <f>'Tangible assets'!O4</f>
        <v>Yes</v>
      </c>
      <c r="H4" s="39" t="str">
        <f>'Yearly Sales'!O4</f>
        <v>Yes</v>
      </c>
      <c r="I4" s="39" t="str">
        <f>'Investment (capex)'!O4</f>
        <v>No</v>
      </c>
      <c r="J4" s="39" t="str">
        <f>'Wages salaries'!O4</f>
        <v>No</v>
      </c>
      <c r="K4" s="6">
        <f t="shared" si="0"/>
        <v>2</v>
      </c>
    </row>
    <row r="5" spans="1:11" x14ac:dyDescent="0.2">
      <c r="A5" s="35">
        <f t="shared" si="1"/>
        <v>4</v>
      </c>
      <c r="B5" t="s">
        <v>133</v>
      </c>
      <c r="C5" s="96">
        <v>10.51</v>
      </c>
      <c r="D5" t="s">
        <v>220</v>
      </c>
      <c r="E5" t="s">
        <v>225</v>
      </c>
      <c r="F5" s="39" t="str">
        <f>Employees!O5</f>
        <v>Yes</v>
      </c>
      <c r="G5" s="41" t="str">
        <f>'Tangible assets'!O5</f>
        <v>Yes</v>
      </c>
      <c r="H5" s="39" t="str">
        <f>'Yearly Sales'!O5</f>
        <v>Yes</v>
      </c>
      <c r="I5" s="39" t="str">
        <f>'Investment (capex)'!O5</f>
        <v>Yes</v>
      </c>
      <c r="J5" s="39" t="str">
        <f>'Wages salaries'!O5</f>
        <v>Yes</v>
      </c>
      <c r="K5" s="6">
        <f t="shared" si="0"/>
        <v>5</v>
      </c>
    </row>
    <row r="6" spans="1:11" x14ac:dyDescent="0.2">
      <c r="A6" s="35">
        <f t="shared" si="1"/>
        <v>5</v>
      </c>
      <c r="B6" t="s">
        <v>139</v>
      </c>
      <c r="C6" s="96">
        <v>68.2</v>
      </c>
      <c r="D6" t="s">
        <v>221</v>
      </c>
      <c r="E6" t="s">
        <v>253</v>
      </c>
      <c r="F6" s="39" t="str">
        <f>Employees!O6</f>
        <v>Yes</v>
      </c>
      <c r="G6" s="41" t="str">
        <f>'Tangible assets'!O6</f>
        <v>No</v>
      </c>
      <c r="H6" s="39" t="str">
        <f>'Yearly Sales'!O6</f>
        <v>No</v>
      </c>
      <c r="I6" s="39" t="str">
        <f>'Investment (capex)'!O6</f>
        <v>No</v>
      </c>
      <c r="J6" s="39" t="str">
        <f>'Wages salaries'!O6</f>
        <v>No</v>
      </c>
      <c r="K6" s="6">
        <f t="shared" si="0"/>
        <v>1</v>
      </c>
    </row>
    <row r="7" spans="1:11" x14ac:dyDescent="0.2">
      <c r="A7" s="35">
        <f t="shared" si="1"/>
        <v>6</v>
      </c>
      <c r="B7" t="s">
        <v>205</v>
      </c>
      <c r="C7" s="103">
        <v>41.2</v>
      </c>
      <c r="D7" t="s">
        <v>222</v>
      </c>
      <c r="E7" t="s">
        <v>253</v>
      </c>
      <c r="F7" s="39" t="str">
        <f>Employees!O7</f>
        <v>No</v>
      </c>
      <c r="G7" s="41" t="str">
        <f>'Tangible assets'!O7</f>
        <v>No</v>
      </c>
      <c r="H7" s="39" t="str">
        <f>'Yearly Sales'!O7</f>
        <v>No</v>
      </c>
      <c r="I7" s="39" t="str">
        <f>'Investment (capex)'!O7</f>
        <v>No</v>
      </c>
      <c r="J7" s="39" t="str">
        <f>'Wages salaries'!O7</f>
        <v>No</v>
      </c>
      <c r="K7" s="6">
        <f t="shared" si="0"/>
        <v>0</v>
      </c>
    </row>
    <row r="8" spans="1:11" x14ac:dyDescent="0.2">
      <c r="A8" s="35">
        <f t="shared" si="1"/>
        <v>7</v>
      </c>
      <c r="B8" t="s">
        <v>159</v>
      </c>
      <c r="C8" s="96">
        <v>68.2</v>
      </c>
      <c r="D8" t="s">
        <v>222</v>
      </c>
      <c r="E8" t="s">
        <v>253</v>
      </c>
      <c r="F8" s="39" t="str">
        <f>Employees!O8</f>
        <v>No</v>
      </c>
      <c r="G8" s="41" t="str">
        <f>'Tangible assets'!O8</f>
        <v>No</v>
      </c>
      <c r="H8" s="39" t="str">
        <f>'Yearly Sales'!O8</f>
        <v>No</v>
      </c>
      <c r="I8" s="39" t="str">
        <f>'Investment (capex)'!O8</f>
        <v>No</v>
      </c>
      <c r="J8" s="39" t="str">
        <f>'Wages salaries'!O8</f>
        <v>No</v>
      </c>
      <c r="K8" s="6">
        <f t="shared" si="0"/>
        <v>0</v>
      </c>
    </row>
    <row r="9" spans="1:11" x14ac:dyDescent="0.2">
      <c r="A9" s="35">
        <f t="shared" si="1"/>
        <v>8</v>
      </c>
      <c r="B9" t="s">
        <v>164</v>
      </c>
      <c r="C9" s="96">
        <v>68.2</v>
      </c>
      <c r="D9" t="s">
        <v>222</v>
      </c>
      <c r="E9" t="s">
        <v>251</v>
      </c>
      <c r="F9" s="39" t="str">
        <f>Employees!O9</f>
        <v>No</v>
      </c>
      <c r="G9" s="41" t="str">
        <f>'Tangible assets'!O9</f>
        <v>Yes</v>
      </c>
      <c r="H9" s="39" t="str">
        <f>'Yearly Sales'!O9</f>
        <v>Yes</v>
      </c>
      <c r="I9" s="39" t="str">
        <f>'Investment (capex)'!O9</f>
        <v>No</v>
      </c>
      <c r="J9" s="39" t="str">
        <f>'Wages salaries'!O9</f>
        <v>No</v>
      </c>
      <c r="K9" s="6">
        <f t="shared" si="0"/>
        <v>2</v>
      </c>
    </row>
    <row r="10" spans="1:11" x14ac:dyDescent="0.2">
      <c r="A10" s="35">
        <f t="shared" si="1"/>
        <v>9</v>
      </c>
      <c r="B10" t="s">
        <v>182</v>
      </c>
      <c r="C10" s="96">
        <v>23.66</v>
      </c>
      <c r="D10" t="s">
        <v>223</v>
      </c>
      <c r="E10" t="s">
        <v>225</v>
      </c>
      <c r="F10" s="39" t="str">
        <f>Employees!O10</f>
        <v>Yes</v>
      </c>
      <c r="G10" s="41" t="str">
        <f>'Tangible assets'!O10</f>
        <v>No</v>
      </c>
      <c r="H10" s="39" t="str">
        <f>'Yearly Sales'!O10</f>
        <v>Yes</v>
      </c>
      <c r="I10" s="39" t="str">
        <f>'Investment (capex)'!O10</f>
        <v>Yes</v>
      </c>
      <c r="J10" s="39" t="str">
        <f>'Wages salaries'!O10</f>
        <v>Yes</v>
      </c>
      <c r="K10" s="6">
        <f t="shared" si="0"/>
        <v>4</v>
      </c>
    </row>
    <row r="11" spans="1:11" x14ac:dyDescent="0.2">
      <c r="A11" s="35">
        <f t="shared" si="1"/>
        <v>10</v>
      </c>
      <c r="B11" t="s">
        <v>209</v>
      </c>
      <c r="C11" s="96">
        <v>62.1</v>
      </c>
      <c r="D11" t="s">
        <v>226</v>
      </c>
      <c r="E11" t="s">
        <v>329</v>
      </c>
      <c r="F11" s="39" t="str">
        <f>Employees!O11</f>
        <v>No</v>
      </c>
      <c r="G11" s="41" t="str">
        <f>'Tangible assets'!O11</f>
        <v>No</v>
      </c>
      <c r="H11" s="39" t="str">
        <f>'Yearly Sales'!O11</f>
        <v>No</v>
      </c>
      <c r="I11" s="39" t="str">
        <f>'Investment (capex)'!O11</f>
        <v>No</v>
      </c>
      <c r="J11" s="39" t="str">
        <f>'Wages salaries'!O11</f>
        <v>No</v>
      </c>
      <c r="K11" s="6">
        <f t="shared" si="0"/>
        <v>0</v>
      </c>
    </row>
    <row r="12" spans="1:11" x14ac:dyDescent="0.2">
      <c r="A12" s="35">
        <f t="shared" si="1"/>
        <v>11</v>
      </c>
      <c r="B12" t="s">
        <v>170</v>
      </c>
      <c r="C12" s="96">
        <v>20.420000000000002</v>
      </c>
      <c r="D12" s="36" t="s">
        <v>228</v>
      </c>
      <c r="E12" t="s">
        <v>225</v>
      </c>
      <c r="F12" s="39" t="str">
        <f>Employees!O12</f>
        <v>Yes</v>
      </c>
      <c r="G12" s="41" t="str">
        <f>'Tangible assets'!O12</f>
        <v>Yes</v>
      </c>
      <c r="H12" s="39" t="str">
        <f>'Yearly Sales'!O12</f>
        <v>Yes</v>
      </c>
      <c r="I12" s="39" t="str">
        <f>'Investment (capex)'!O12</f>
        <v>Yes</v>
      </c>
      <c r="J12" s="39" t="str">
        <f>'Wages salaries'!O12</f>
        <v>Yes</v>
      </c>
      <c r="K12" s="6">
        <f t="shared" si="0"/>
        <v>5</v>
      </c>
    </row>
    <row r="13" spans="1:11" x14ac:dyDescent="0.2">
      <c r="A13" s="35">
        <f t="shared" si="1"/>
        <v>12</v>
      </c>
      <c r="B13" t="s">
        <v>175</v>
      </c>
      <c r="C13" s="96">
        <v>25.21</v>
      </c>
      <c r="D13" t="s">
        <v>227</v>
      </c>
      <c r="E13" t="s">
        <v>225</v>
      </c>
      <c r="F13" s="39" t="str">
        <f>Employees!O13</f>
        <v>Yes</v>
      </c>
      <c r="G13" s="41" t="str">
        <f>'Tangible assets'!O13</f>
        <v>Yes</v>
      </c>
      <c r="H13" s="39" t="str">
        <f>'Yearly Sales'!O13</f>
        <v>Yes</v>
      </c>
      <c r="I13" s="39" t="str">
        <f>'Investment (capex)'!O13</f>
        <v>Yes</v>
      </c>
      <c r="J13" s="39" t="str">
        <f>'Wages salaries'!O13</f>
        <v>Yes</v>
      </c>
      <c r="K13" s="6">
        <f t="shared" si="0"/>
        <v>5</v>
      </c>
    </row>
    <row r="14" spans="1:11" x14ac:dyDescent="0.2">
      <c r="A14" s="35">
        <f t="shared" si="1"/>
        <v>13</v>
      </c>
      <c r="B14" t="s">
        <v>186</v>
      </c>
      <c r="C14" s="103" t="s">
        <v>289</v>
      </c>
      <c r="D14" t="s">
        <v>229</v>
      </c>
      <c r="E14" t="s">
        <v>225</v>
      </c>
      <c r="F14" s="39" t="str">
        <f>Employees!O14</f>
        <v>Yes</v>
      </c>
      <c r="G14" s="41" t="str">
        <f>'Tangible assets'!O14</f>
        <v>Yes</v>
      </c>
      <c r="H14" s="39" t="str">
        <f>'Yearly Sales'!O14</f>
        <v>Yes</v>
      </c>
      <c r="I14" s="39" t="str">
        <f>'Investment (capex)'!O14</f>
        <v>No</v>
      </c>
      <c r="J14" s="39" t="str">
        <f>'Wages salaries'!O14</f>
        <v>Yes</v>
      </c>
      <c r="K14" s="6">
        <f t="shared" si="0"/>
        <v>4</v>
      </c>
    </row>
    <row r="15" spans="1:11" x14ac:dyDescent="0.2">
      <c r="A15" s="35">
        <f t="shared" si="1"/>
        <v>14</v>
      </c>
      <c r="B15" t="s">
        <v>195</v>
      </c>
      <c r="C15" s="103" t="s">
        <v>290</v>
      </c>
      <c r="D15" t="s">
        <v>230</v>
      </c>
      <c r="E15" t="s">
        <v>225</v>
      </c>
      <c r="F15" s="39" t="str">
        <f>Employees!O15</f>
        <v>Yes</v>
      </c>
      <c r="G15" s="41" t="str">
        <f>'Tangible assets'!O15</f>
        <v>Yes</v>
      </c>
      <c r="H15" s="39" t="str">
        <f>'Yearly Sales'!O15</f>
        <v>Yes</v>
      </c>
      <c r="I15" s="39" t="str">
        <f>'Investment (capex)'!O15</f>
        <v>Yes</v>
      </c>
      <c r="J15" s="39" t="str">
        <f>'Wages salaries'!O15</f>
        <v>Yes</v>
      </c>
      <c r="K15" s="6">
        <f t="shared" si="0"/>
        <v>5</v>
      </c>
    </row>
    <row r="16" spans="1:11" x14ac:dyDescent="0.2">
      <c r="A16" s="35">
        <f t="shared" si="1"/>
        <v>15</v>
      </c>
      <c r="B16" t="s">
        <v>151</v>
      </c>
      <c r="C16" s="103">
        <v>20.149999999999999</v>
      </c>
      <c r="D16" t="s">
        <v>231</v>
      </c>
      <c r="E16" t="s">
        <v>254</v>
      </c>
      <c r="F16" s="39" t="str">
        <f>Employees!O16</f>
        <v>No</v>
      </c>
      <c r="G16" s="41" t="str">
        <f>'Tangible assets'!O16</f>
        <v>No</v>
      </c>
      <c r="H16" s="39" t="str">
        <f>'Yearly Sales'!O16</f>
        <v>No</v>
      </c>
      <c r="I16" s="39" t="str">
        <f>'Investment (capex)'!O16</f>
        <v>No</v>
      </c>
      <c r="J16" s="39" t="str">
        <f>'Wages salaries'!O16</f>
        <v>No</v>
      </c>
      <c r="K16" s="6">
        <f t="shared" si="0"/>
        <v>0</v>
      </c>
    </row>
    <row r="17" spans="1:11" x14ac:dyDescent="0.2">
      <c r="A17" s="35">
        <f t="shared" si="1"/>
        <v>16</v>
      </c>
      <c r="B17" t="s">
        <v>190</v>
      </c>
      <c r="C17" s="103">
        <v>46.87</v>
      </c>
      <c r="D17" s="36" t="s">
        <v>232</v>
      </c>
      <c r="E17" t="s">
        <v>225</v>
      </c>
      <c r="F17" s="39" t="str">
        <f>Employees!O17</f>
        <v>Yes</v>
      </c>
      <c r="G17" s="41" t="str">
        <f>'Tangible assets'!O17</f>
        <v>Yes</v>
      </c>
      <c r="H17" s="39" t="str">
        <f>'Yearly Sales'!O17</f>
        <v>No</v>
      </c>
      <c r="I17" s="39" t="str">
        <f>'Investment (capex)'!O17</f>
        <v>No</v>
      </c>
      <c r="J17" s="39" t="str">
        <f>'Wages salaries'!O17</f>
        <v>No</v>
      </c>
      <c r="K17" s="6">
        <f t="shared" si="0"/>
        <v>2</v>
      </c>
    </row>
    <row r="18" spans="1:11" x14ac:dyDescent="0.2">
      <c r="A18" s="35">
        <f t="shared" si="1"/>
        <v>17</v>
      </c>
      <c r="B18" t="s">
        <v>200</v>
      </c>
      <c r="C18" s="96">
        <v>19.100000000000001</v>
      </c>
      <c r="D18" t="s">
        <v>222</v>
      </c>
      <c r="E18" t="s">
        <v>225</v>
      </c>
      <c r="F18" s="39" t="str">
        <f>Employees!O18</f>
        <v>Yes</v>
      </c>
      <c r="G18" s="41" t="str">
        <f>'Tangible assets'!O18</f>
        <v>No</v>
      </c>
      <c r="H18" s="39" t="str">
        <f>'Yearly Sales'!O18</f>
        <v>No</v>
      </c>
      <c r="I18" s="39" t="str">
        <f>'Investment (capex)'!O18</f>
        <v>No</v>
      </c>
      <c r="J18" s="39" t="str">
        <f>'Wages salaries'!O18</f>
        <v>No</v>
      </c>
      <c r="K18" s="6">
        <f t="shared" si="0"/>
        <v>1</v>
      </c>
    </row>
    <row r="19" spans="1:11" x14ac:dyDescent="0.2">
      <c r="A19" s="35">
        <f t="shared" si="1"/>
        <v>18</v>
      </c>
      <c r="B19" t="s">
        <v>75</v>
      </c>
      <c r="C19" s="103">
        <v>41</v>
      </c>
      <c r="D19" t="s">
        <v>233</v>
      </c>
      <c r="E19" t="s">
        <v>225</v>
      </c>
      <c r="F19" s="39" t="str">
        <f>Employees!O19</f>
        <v>Yes</v>
      </c>
      <c r="G19" s="41" t="str">
        <f>'Tangible assets'!O19</f>
        <v>Yes</v>
      </c>
      <c r="H19" s="39" t="str">
        <f>'Yearly Sales'!O19</f>
        <v>Yes</v>
      </c>
      <c r="I19" s="39" t="str">
        <f>'Investment (capex)'!O19</f>
        <v>Yes</v>
      </c>
      <c r="J19" s="39" t="str">
        <f>'Wages salaries'!O19</f>
        <v>Yes</v>
      </c>
      <c r="K19" s="6">
        <f t="shared" si="0"/>
        <v>5</v>
      </c>
    </row>
    <row r="20" spans="1:11" x14ac:dyDescent="0.2">
      <c r="A20" s="35">
        <f t="shared" si="1"/>
        <v>19</v>
      </c>
      <c r="B20" t="s">
        <v>81</v>
      </c>
      <c r="C20" s="103">
        <v>16.21</v>
      </c>
      <c r="D20" t="s">
        <v>234</v>
      </c>
      <c r="E20" t="s">
        <v>225</v>
      </c>
      <c r="F20" s="39" t="str">
        <f>Employees!O20</f>
        <v>No</v>
      </c>
      <c r="G20" s="41" t="str">
        <f>'Tangible assets'!O20</f>
        <v>Yes</v>
      </c>
      <c r="H20" s="39" t="str">
        <f>'Yearly Sales'!O20</f>
        <v>No</v>
      </c>
      <c r="I20" s="39" t="str">
        <f>'Investment (capex)'!O20</f>
        <v>No</v>
      </c>
      <c r="J20" s="39" t="str">
        <f>'Wages salaries'!O20</f>
        <v>Yes</v>
      </c>
      <c r="K20" s="6">
        <f t="shared" si="0"/>
        <v>2</v>
      </c>
    </row>
    <row r="21" spans="1:11" x14ac:dyDescent="0.2">
      <c r="A21" s="35">
        <f t="shared" si="1"/>
        <v>20</v>
      </c>
      <c r="B21" t="s">
        <v>85</v>
      </c>
      <c r="C21" s="103">
        <v>11.05</v>
      </c>
      <c r="D21" t="s">
        <v>235</v>
      </c>
      <c r="E21" t="s">
        <v>225</v>
      </c>
      <c r="F21" s="39" t="str">
        <f>Employees!O21</f>
        <v>Yes</v>
      </c>
      <c r="G21" s="41" t="str">
        <f>'Tangible assets'!O21</f>
        <v>Yes</v>
      </c>
      <c r="H21" s="39" t="str">
        <f>'Yearly Sales'!O21</f>
        <v>Yes</v>
      </c>
      <c r="I21" s="39" t="str">
        <f>'Investment (capex)'!O21</f>
        <v>Yes</v>
      </c>
      <c r="J21" s="39" t="str">
        <f>'Wages salaries'!O21</f>
        <v>Yes</v>
      </c>
      <c r="K21" s="6">
        <f t="shared" si="0"/>
        <v>5</v>
      </c>
    </row>
    <row r="22" spans="1:11" x14ac:dyDescent="0.2">
      <c r="A22" s="35">
        <f t="shared" si="1"/>
        <v>21</v>
      </c>
      <c r="B22" t="s">
        <v>100</v>
      </c>
      <c r="C22" s="103">
        <v>68.2</v>
      </c>
      <c r="D22" t="s">
        <v>222</v>
      </c>
      <c r="E22" t="s">
        <v>225</v>
      </c>
      <c r="F22" s="39" t="str">
        <f>Employees!O22</f>
        <v>Yes</v>
      </c>
      <c r="G22" s="41" t="str">
        <f>'Tangible assets'!O22</f>
        <v>Yes</v>
      </c>
      <c r="H22" s="39" t="str">
        <f>'Yearly Sales'!O22</f>
        <v>Yes</v>
      </c>
      <c r="I22" s="39" t="str">
        <f>'Investment (capex)'!O22</f>
        <v>No</v>
      </c>
      <c r="J22" s="39" t="str">
        <f>'Wages salaries'!O22</f>
        <v>Yes</v>
      </c>
      <c r="K22" s="6">
        <f t="shared" si="0"/>
        <v>4</v>
      </c>
    </row>
    <row r="23" spans="1:11" x14ac:dyDescent="0.2">
      <c r="A23" s="35">
        <f t="shared" si="1"/>
        <v>22</v>
      </c>
      <c r="B23" t="s">
        <v>95</v>
      </c>
      <c r="C23" s="103" t="s">
        <v>291</v>
      </c>
      <c r="D23" t="s">
        <v>236</v>
      </c>
      <c r="E23" t="s">
        <v>255</v>
      </c>
      <c r="F23" s="39" t="str">
        <f>Employees!O23</f>
        <v>Yes</v>
      </c>
      <c r="G23" s="41" t="str">
        <f>'Tangible assets'!O23</f>
        <v>No</v>
      </c>
      <c r="H23" s="39" t="str">
        <f>'Yearly Sales'!O23</f>
        <v>Yes</v>
      </c>
      <c r="I23" s="39" t="str">
        <f>'Investment (capex)'!O23</f>
        <v>No</v>
      </c>
      <c r="J23" s="39" t="str">
        <f>'Wages salaries'!O23</f>
        <v>No</v>
      </c>
      <c r="K23" s="6">
        <f t="shared" si="0"/>
        <v>2</v>
      </c>
    </row>
    <row r="24" spans="1:11" x14ac:dyDescent="0.2">
      <c r="A24" s="35">
        <f t="shared" si="1"/>
        <v>23</v>
      </c>
      <c r="B24" t="s">
        <v>104</v>
      </c>
      <c r="C24" s="103">
        <v>16.11</v>
      </c>
      <c r="D24" t="s">
        <v>237</v>
      </c>
      <c r="E24" t="s">
        <v>225</v>
      </c>
      <c r="F24" s="39" t="str">
        <f>Employees!O24</f>
        <v>Yes</v>
      </c>
      <c r="G24" s="41" t="str">
        <f>'Tangible assets'!O24</f>
        <v>Yes</v>
      </c>
      <c r="H24" s="39" t="str">
        <f>'Yearly Sales'!O24</f>
        <v>Yes</v>
      </c>
      <c r="I24" s="39" t="str">
        <f>'Investment (capex)'!O24</f>
        <v>Yes</v>
      </c>
      <c r="J24" s="39" t="str">
        <f>'Wages salaries'!O24</f>
        <v>Yes</v>
      </c>
      <c r="K24" s="6">
        <f t="shared" si="0"/>
        <v>5</v>
      </c>
    </row>
    <row r="25" spans="1:11" x14ac:dyDescent="0.2">
      <c r="A25" s="35">
        <f t="shared" si="1"/>
        <v>24</v>
      </c>
      <c r="B25" t="s">
        <v>110</v>
      </c>
      <c r="C25" s="96">
        <v>13.92</v>
      </c>
      <c r="D25" t="s">
        <v>238</v>
      </c>
      <c r="E25" t="s">
        <v>225</v>
      </c>
      <c r="F25" s="39" t="str">
        <f>Employees!O25</f>
        <v>Yes</v>
      </c>
      <c r="G25" s="41" t="str">
        <f>'Tangible assets'!O25</f>
        <v>No</v>
      </c>
      <c r="H25" s="39" t="str">
        <f>'Yearly Sales'!O25</f>
        <v>Yes</v>
      </c>
      <c r="I25" s="39" t="str">
        <f>'Investment (capex)'!O25</f>
        <v>No</v>
      </c>
      <c r="J25" s="39" t="str">
        <f>'Wages salaries'!O25</f>
        <v>Yes</v>
      </c>
      <c r="K25" s="6">
        <f t="shared" si="0"/>
        <v>3</v>
      </c>
    </row>
    <row r="26" spans="1:11" x14ac:dyDescent="0.2">
      <c r="A26" s="35">
        <f t="shared" si="1"/>
        <v>25</v>
      </c>
      <c r="B26" t="s">
        <v>119</v>
      </c>
      <c r="C26" s="103">
        <v>25.11</v>
      </c>
      <c r="D26" t="s">
        <v>239</v>
      </c>
      <c r="E26" t="s">
        <v>256</v>
      </c>
      <c r="F26" s="39" t="str">
        <f>Employees!O26</f>
        <v>Yes</v>
      </c>
      <c r="G26" s="41" t="str">
        <f>'Tangible assets'!O26</f>
        <v>No</v>
      </c>
      <c r="H26" s="39" t="str">
        <f>'Yearly Sales'!O26</f>
        <v>Yes</v>
      </c>
      <c r="I26" s="39" t="str">
        <f>'Investment (capex)'!O26</f>
        <v>No</v>
      </c>
      <c r="J26" s="39" t="str">
        <f>'Wages salaries'!O26</f>
        <v>No</v>
      </c>
      <c r="K26" s="6">
        <f t="shared" si="0"/>
        <v>2</v>
      </c>
    </row>
    <row r="27" spans="1:11" x14ac:dyDescent="0.2">
      <c r="A27" s="35">
        <f t="shared" si="1"/>
        <v>26</v>
      </c>
      <c r="B27" t="s">
        <v>115</v>
      </c>
      <c r="C27" s="96" t="s">
        <v>292</v>
      </c>
      <c r="D27" t="s">
        <v>222</v>
      </c>
      <c r="E27" t="s">
        <v>257</v>
      </c>
      <c r="F27" s="39" t="str">
        <f>Employees!O27</f>
        <v>No</v>
      </c>
      <c r="G27" s="41" t="str">
        <f>'Tangible assets'!O27</f>
        <v>No</v>
      </c>
      <c r="H27" s="39" t="str">
        <f>'Yearly Sales'!O27</f>
        <v>No</v>
      </c>
      <c r="I27" s="39" t="str">
        <f>'Investment (capex)'!O27</f>
        <v>No</v>
      </c>
      <c r="J27" s="39" t="str">
        <f>'Wages salaries'!O27</f>
        <v>No</v>
      </c>
      <c r="K27" s="6">
        <f t="shared" si="0"/>
        <v>0</v>
      </c>
    </row>
    <row r="28" spans="1:11" x14ac:dyDescent="0.2">
      <c r="A28" s="35">
        <f t="shared" si="1"/>
        <v>27</v>
      </c>
      <c r="B28" t="s">
        <v>91</v>
      </c>
      <c r="C28" s="96" t="s">
        <v>293</v>
      </c>
      <c r="D28" t="s">
        <v>240</v>
      </c>
      <c r="E28" t="s">
        <v>225</v>
      </c>
      <c r="F28" s="39" t="str">
        <f>Employees!O28</f>
        <v>Yes</v>
      </c>
      <c r="G28" s="41" t="str">
        <f>'Tangible assets'!O28</f>
        <v>Yes</v>
      </c>
      <c r="H28" s="39" t="str">
        <f>'Yearly Sales'!O28</f>
        <v>Yes</v>
      </c>
      <c r="I28" s="39" t="str">
        <f>'Investment (capex)'!O28</f>
        <v>Yes</v>
      </c>
      <c r="J28" s="39" t="str">
        <f>'Wages salaries'!O28</f>
        <v>Yes</v>
      </c>
      <c r="K28" s="6">
        <f t="shared" si="0"/>
        <v>5</v>
      </c>
    </row>
    <row r="29" spans="1:11" x14ac:dyDescent="0.2">
      <c r="A29" s="35">
        <f t="shared" si="1"/>
        <v>28</v>
      </c>
      <c r="B29" t="s">
        <v>47</v>
      </c>
      <c r="C29" s="103">
        <v>31</v>
      </c>
      <c r="D29" t="s">
        <v>241</v>
      </c>
      <c r="E29" t="s">
        <v>258</v>
      </c>
      <c r="F29" s="39" t="str">
        <f>Employees!O29</f>
        <v>Yes</v>
      </c>
      <c r="G29" s="41" t="str">
        <f>'Tangible assets'!O29</f>
        <v>No</v>
      </c>
      <c r="H29" s="39" t="str">
        <f>'Yearly Sales'!O29</f>
        <v>Yes</v>
      </c>
      <c r="I29" s="39" t="str">
        <f>'Investment (capex)'!O29</f>
        <v>No</v>
      </c>
      <c r="J29" s="39" t="str">
        <f>'Wages salaries'!O29</f>
        <v>Yes</v>
      </c>
      <c r="K29" s="6">
        <f t="shared" si="0"/>
        <v>3</v>
      </c>
    </row>
    <row r="30" spans="1:11" x14ac:dyDescent="0.2">
      <c r="A30" s="35">
        <f t="shared" si="1"/>
        <v>29</v>
      </c>
      <c r="B30" t="s">
        <v>52</v>
      </c>
      <c r="C30" s="103" t="s">
        <v>294</v>
      </c>
      <c r="D30" t="s">
        <v>242</v>
      </c>
      <c r="E30" t="s">
        <v>225</v>
      </c>
      <c r="F30" s="39" t="str">
        <f>Employees!O30</f>
        <v>Yes</v>
      </c>
      <c r="G30" s="41" t="str">
        <f>'Tangible assets'!O30</f>
        <v>Yes</v>
      </c>
      <c r="H30" s="39" t="str">
        <f>'Yearly Sales'!O30</f>
        <v>Yes</v>
      </c>
      <c r="I30" s="39" t="str">
        <f>'Investment (capex)'!O30</f>
        <v>No</v>
      </c>
      <c r="J30" s="39" t="str">
        <f>'Wages salaries'!O30</f>
        <v>No</v>
      </c>
      <c r="K30" s="6">
        <f t="shared" si="0"/>
        <v>3</v>
      </c>
    </row>
    <row r="31" spans="1:11" x14ac:dyDescent="0.2">
      <c r="A31" s="35">
        <f t="shared" si="1"/>
        <v>30</v>
      </c>
      <c r="B31" t="s">
        <v>58</v>
      </c>
      <c r="C31" s="96">
        <v>22.24</v>
      </c>
      <c r="D31" t="s">
        <v>243</v>
      </c>
      <c r="E31" t="s">
        <v>225</v>
      </c>
      <c r="F31" s="39" t="str">
        <f>Employees!O31</f>
        <v>Yes</v>
      </c>
      <c r="G31" s="41" t="str">
        <f>'Tangible assets'!O31</f>
        <v>Yes</v>
      </c>
      <c r="H31" s="39" t="str">
        <f>'Yearly Sales'!O31</f>
        <v>Yes</v>
      </c>
      <c r="I31" s="39" t="str">
        <f>'Investment (capex)'!O31</f>
        <v>Yes</v>
      </c>
      <c r="J31" s="39" t="str">
        <f>'Wages salaries'!O31</f>
        <v>Yes</v>
      </c>
      <c r="K31" s="6">
        <f t="shared" si="0"/>
        <v>5</v>
      </c>
    </row>
    <row r="32" spans="1:11" x14ac:dyDescent="0.2">
      <c r="A32" s="35">
        <f t="shared" si="1"/>
        <v>31</v>
      </c>
      <c r="B32" t="s">
        <v>26</v>
      </c>
      <c r="C32" s="103" t="s">
        <v>222</v>
      </c>
      <c r="D32" t="s">
        <v>222</v>
      </c>
      <c r="E32" t="s">
        <v>259</v>
      </c>
      <c r="F32" s="39" t="str">
        <f>Employees!O32</f>
        <v>No</v>
      </c>
      <c r="G32" s="41" t="str">
        <f>'Tangible assets'!O32</f>
        <v>No</v>
      </c>
      <c r="H32" s="39" t="str">
        <f>'Yearly Sales'!O32</f>
        <v>No</v>
      </c>
      <c r="I32" s="39" t="str">
        <f>'Investment (capex)'!O32</f>
        <v>No</v>
      </c>
      <c r="J32" s="39" t="str">
        <f>'Wages salaries'!O32</f>
        <v>No</v>
      </c>
      <c r="K32" s="6">
        <f>COUNTIF(F32:J32,"yes")</f>
        <v>0</v>
      </c>
    </row>
    <row r="33" spans="1:11" x14ac:dyDescent="0.2">
      <c r="A33" s="35">
        <f t="shared" si="1"/>
        <v>32</v>
      </c>
      <c r="B33" t="s">
        <v>69</v>
      </c>
      <c r="C33" s="103">
        <v>18.12</v>
      </c>
      <c r="D33" t="s">
        <v>261</v>
      </c>
      <c r="E33" t="s">
        <v>225</v>
      </c>
      <c r="F33" s="39" t="str">
        <f>Employees!O33</f>
        <v>Yes</v>
      </c>
      <c r="G33" s="41" t="str">
        <f>'Tangible assets'!O33</f>
        <v>Yes</v>
      </c>
      <c r="H33" s="39" t="str">
        <f>'Yearly Sales'!O33</f>
        <v>Yes</v>
      </c>
      <c r="I33" s="39" t="str">
        <f>'Investment (capex)'!O33</f>
        <v>Yes</v>
      </c>
      <c r="J33" s="39" t="str">
        <f>'Wages salaries'!O33</f>
        <v>Yes</v>
      </c>
      <c r="K33" s="6">
        <f t="shared" si="0"/>
        <v>5</v>
      </c>
    </row>
    <row r="34" spans="1:11" x14ac:dyDescent="0.2">
      <c r="A34" s="35">
        <f t="shared" si="1"/>
        <v>33</v>
      </c>
      <c r="B34" t="s">
        <v>39</v>
      </c>
      <c r="C34" s="103">
        <v>68.2</v>
      </c>
      <c r="D34" t="s">
        <v>245</v>
      </c>
      <c r="E34" t="s">
        <v>244</v>
      </c>
      <c r="F34" s="39" t="str">
        <f>Employees!O34</f>
        <v>No</v>
      </c>
      <c r="G34" s="41" t="str">
        <f>'Tangible assets'!O34</f>
        <v>No</v>
      </c>
      <c r="H34" s="39" t="str">
        <f>'Yearly Sales'!O34</f>
        <v>No</v>
      </c>
      <c r="I34" s="39" t="str">
        <f>'Investment (capex)'!O34</f>
        <v>No</v>
      </c>
      <c r="J34" s="39" t="str">
        <f>'Wages salaries'!O34</f>
        <v>No</v>
      </c>
      <c r="K34" s="6">
        <f t="shared" si="0"/>
        <v>0</v>
      </c>
    </row>
    <row r="35" spans="1:11" ht="16" thickBot="1" x14ac:dyDescent="0.25">
      <c r="A35" s="35">
        <f t="shared" si="1"/>
        <v>34</v>
      </c>
      <c r="B35" t="s">
        <v>63</v>
      </c>
      <c r="C35" s="96">
        <v>27.4</v>
      </c>
      <c r="D35" t="s">
        <v>246</v>
      </c>
      <c r="F35" s="20" t="str">
        <f>Employees!O35</f>
        <v>Yes</v>
      </c>
      <c r="G35" s="20" t="str">
        <f>'Tangible assets'!O35</f>
        <v>IDK</v>
      </c>
      <c r="H35" s="20" t="str">
        <f>'Yearly Sales'!O35</f>
        <v>Yes</v>
      </c>
      <c r="I35" s="20" t="str">
        <f>'Investment (capex)'!O35</f>
        <v>Yes</v>
      </c>
      <c r="J35" s="20" t="str">
        <f>'Wages salaries'!O35</f>
        <v>Yes</v>
      </c>
      <c r="K35" s="37">
        <f t="shared" si="0"/>
        <v>4</v>
      </c>
    </row>
    <row r="36" spans="1:11" ht="16" thickBot="1" x14ac:dyDescent="0.25">
      <c r="E36" t="s">
        <v>286</v>
      </c>
      <c r="F36">
        <f>COUNTIF(F2:F35,"yes")</f>
        <v>24</v>
      </c>
      <c r="G36">
        <f t="shared" ref="G36:J36" si="2">COUNTIF(G2:G35,"yes")</f>
        <v>19</v>
      </c>
      <c r="H36">
        <f t="shared" si="2"/>
        <v>23</v>
      </c>
      <c r="I36">
        <f t="shared" si="2"/>
        <v>13</v>
      </c>
      <c r="J36">
        <f t="shared" si="2"/>
        <v>19</v>
      </c>
    </row>
    <row r="37" spans="1:11" x14ac:dyDescent="0.2">
      <c r="I37" t="s">
        <v>280</v>
      </c>
      <c r="J37" s="16" t="s">
        <v>281</v>
      </c>
      <c r="K37" s="5">
        <f>COUNTIF(K2:K35, "5")</f>
        <v>11</v>
      </c>
    </row>
    <row r="38" spans="1:11" x14ac:dyDescent="0.2">
      <c r="J38" s="17" t="s">
        <v>282</v>
      </c>
      <c r="K38" s="6">
        <f>COUNTIF(K2:K35, "4")</f>
        <v>5</v>
      </c>
    </row>
    <row r="39" spans="1:11" x14ac:dyDescent="0.2">
      <c r="J39" s="17" t="s">
        <v>283</v>
      </c>
      <c r="K39" s="6">
        <f>COUNTIF(K2:K35, "3")</f>
        <v>3</v>
      </c>
    </row>
    <row r="40" spans="1:11" x14ac:dyDescent="0.2">
      <c r="J40" s="17" t="s">
        <v>284</v>
      </c>
      <c r="K40" s="6">
        <f>COUNTIF(K2:K35, "2")</f>
        <v>6</v>
      </c>
    </row>
    <row r="41" spans="1:11" ht="16" thickBot="1" x14ac:dyDescent="0.25">
      <c r="J41" s="18" t="s">
        <v>285</v>
      </c>
      <c r="K41" s="7">
        <f>COUNTIF(K2:K35, "1")</f>
        <v>2</v>
      </c>
    </row>
  </sheetData>
  <hyperlinks>
    <hyperlink ref="D2" r:id="rId1" xr:uid="{9677EE32-1371-D248-B8F7-D71DDA11C18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2DBBC-7351-3543-97BA-437230A2766C}">
  <dimension ref="A1:D28"/>
  <sheetViews>
    <sheetView workbookViewId="0">
      <selection activeCell="D11" sqref="D11"/>
    </sheetView>
  </sheetViews>
  <sheetFormatPr baseColWidth="10" defaultRowHeight="15" x14ac:dyDescent="0.2"/>
  <cols>
    <col min="1" max="1" width="11" bestFit="1" customWidth="1"/>
    <col min="3" max="3" width="15.83203125" bestFit="1" customWidth="1"/>
  </cols>
  <sheetData>
    <row r="1" spans="1:4" x14ac:dyDescent="0.2">
      <c r="A1" t="s">
        <v>287</v>
      </c>
      <c r="B1" t="s">
        <v>214</v>
      </c>
      <c r="C1" t="s">
        <v>213</v>
      </c>
      <c r="D1" t="s">
        <v>224</v>
      </c>
    </row>
    <row r="2" spans="1:4" x14ac:dyDescent="0.2">
      <c r="A2" s="42">
        <v>25.4</v>
      </c>
      <c r="B2" t="s">
        <v>296</v>
      </c>
      <c r="C2">
        <v>40003576806</v>
      </c>
    </row>
    <row r="3" spans="1:4" x14ac:dyDescent="0.2">
      <c r="A3">
        <v>25.11</v>
      </c>
      <c r="B3" t="s">
        <v>297</v>
      </c>
      <c r="C3">
        <v>40003490550</v>
      </c>
    </row>
    <row r="4" spans="1:4" x14ac:dyDescent="0.2">
      <c r="A4">
        <v>10.51</v>
      </c>
      <c r="B4" s="6" t="s">
        <v>298</v>
      </c>
      <c r="C4">
        <v>40003034051</v>
      </c>
    </row>
    <row r="5" spans="1:4" x14ac:dyDescent="0.2">
      <c r="A5">
        <v>68.2</v>
      </c>
      <c r="B5" t="s">
        <v>299</v>
      </c>
      <c r="C5">
        <v>42103021051</v>
      </c>
    </row>
    <row r="6" spans="1:4" x14ac:dyDescent="0.2">
      <c r="A6">
        <v>23.99</v>
      </c>
      <c r="B6" t="s">
        <v>300</v>
      </c>
      <c r="C6">
        <v>40003990979</v>
      </c>
    </row>
    <row r="7" spans="1:4" x14ac:dyDescent="0.2">
      <c r="A7">
        <v>20.3</v>
      </c>
      <c r="B7" t="s">
        <v>301</v>
      </c>
      <c r="C7">
        <v>40003245470</v>
      </c>
    </row>
    <row r="8" spans="1:4" x14ac:dyDescent="0.2">
      <c r="A8">
        <v>25.11</v>
      </c>
      <c r="B8" t="s">
        <v>302</v>
      </c>
      <c r="C8">
        <v>42103009504</v>
      </c>
    </row>
    <row r="9" spans="1:4" x14ac:dyDescent="0.2">
      <c r="A9">
        <v>43.22</v>
      </c>
      <c r="B9" t="s">
        <v>304</v>
      </c>
      <c r="C9">
        <v>42103011833</v>
      </c>
    </row>
    <row r="10" spans="1:4" x14ac:dyDescent="0.2">
      <c r="A10">
        <v>16.11</v>
      </c>
      <c r="B10" t="s">
        <v>305</v>
      </c>
      <c r="C10">
        <v>40003037448</v>
      </c>
    </row>
    <row r="11" spans="1:4" x14ac:dyDescent="0.2">
      <c r="A11">
        <v>46.9</v>
      </c>
      <c r="B11" t="s">
        <v>307</v>
      </c>
      <c r="C11">
        <v>40103687559</v>
      </c>
    </row>
    <row r="12" spans="1:4" x14ac:dyDescent="0.2">
      <c r="A12">
        <v>19.2</v>
      </c>
      <c r="B12" t="s">
        <v>308</v>
      </c>
      <c r="C12">
        <v>41203036919</v>
      </c>
    </row>
    <row r="13" spans="1:4" x14ac:dyDescent="0.2">
      <c r="A13">
        <v>41</v>
      </c>
      <c r="B13" t="s">
        <v>309</v>
      </c>
      <c r="C13">
        <v>44103032138</v>
      </c>
    </row>
    <row r="14" spans="1:4" x14ac:dyDescent="0.2">
      <c r="A14">
        <v>11.05</v>
      </c>
      <c r="B14" t="s">
        <v>311</v>
      </c>
      <c r="C14">
        <v>50003428811</v>
      </c>
    </row>
    <row r="15" spans="1:4" x14ac:dyDescent="0.2">
      <c r="A15">
        <v>68</v>
      </c>
      <c r="B15" t="s">
        <v>312</v>
      </c>
      <c r="C15">
        <v>42103075497</v>
      </c>
    </row>
    <row r="16" spans="1:4" x14ac:dyDescent="0.2">
      <c r="A16">
        <v>23.32</v>
      </c>
      <c r="B16" t="s">
        <v>313</v>
      </c>
      <c r="C16">
        <v>50003032071</v>
      </c>
    </row>
    <row r="17" spans="1:3" x14ac:dyDescent="0.2">
      <c r="A17">
        <v>16.23</v>
      </c>
      <c r="B17" t="s">
        <v>315</v>
      </c>
      <c r="C17">
        <v>40103988453</v>
      </c>
    </row>
    <row r="18" spans="1:3" x14ac:dyDescent="0.2">
      <c r="A18">
        <v>13.91</v>
      </c>
      <c r="B18" t="s">
        <v>316</v>
      </c>
      <c r="C18">
        <v>42103036112</v>
      </c>
    </row>
    <row r="19" spans="1:3" x14ac:dyDescent="0.2">
      <c r="A19">
        <v>25.11</v>
      </c>
      <c r="B19" t="s">
        <v>318</v>
      </c>
      <c r="C19">
        <v>41503042416</v>
      </c>
    </row>
    <row r="20" spans="1:3" x14ac:dyDescent="0.2">
      <c r="A20">
        <v>16.11</v>
      </c>
      <c r="B20" t="s">
        <v>319</v>
      </c>
      <c r="C20">
        <v>40003240191</v>
      </c>
    </row>
    <row r="21" spans="1:3" x14ac:dyDescent="0.2">
      <c r="A21">
        <v>31</v>
      </c>
      <c r="B21" t="s">
        <v>320</v>
      </c>
      <c r="C21">
        <v>48503000187</v>
      </c>
    </row>
    <row r="22" spans="1:3" x14ac:dyDescent="0.2">
      <c r="A22">
        <v>42</v>
      </c>
      <c r="B22" t="s">
        <v>321</v>
      </c>
      <c r="C22">
        <v>44103059132</v>
      </c>
    </row>
    <row r="23" spans="1:3" x14ac:dyDescent="0.2">
      <c r="A23">
        <v>22.22</v>
      </c>
      <c r="B23" t="s">
        <v>323</v>
      </c>
      <c r="C23">
        <v>41203057037</v>
      </c>
    </row>
    <row r="24" spans="1:3" x14ac:dyDescent="0.2">
      <c r="A24">
        <v>18.12</v>
      </c>
      <c r="B24" t="s">
        <v>324</v>
      </c>
      <c r="C24">
        <v>40103219845</v>
      </c>
    </row>
    <row r="25" spans="1:3" x14ac:dyDescent="0.2">
      <c r="A25">
        <v>27.4</v>
      </c>
      <c r="B25" t="s">
        <v>325</v>
      </c>
      <c r="C25">
        <v>40203180798</v>
      </c>
    </row>
    <row r="26" spans="1:3" x14ac:dyDescent="0.2">
      <c r="A26">
        <v>68</v>
      </c>
      <c r="B26" t="s">
        <v>349</v>
      </c>
      <c r="C26">
        <v>40003497402</v>
      </c>
    </row>
    <row r="27" spans="1:3" ht="18" x14ac:dyDescent="0.2">
      <c r="A27">
        <v>50</v>
      </c>
      <c r="B27" t="s">
        <v>350</v>
      </c>
      <c r="C27" s="48">
        <v>42103002309</v>
      </c>
    </row>
    <row r="28" spans="1:3" ht="18" x14ac:dyDescent="0.2">
      <c r="A28">
        <v>16.21</v>
      </c>
      <c r="B28" t="s">
        <v>351</v>
      </c>
      <c r="C28" s="48">
        <v>40003332918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08332-889E-BF4A-9BE9-FDBC39BE9554}">
  <dimension ref="A1:AK73"/>
  <sheetViews>
    <sheetView topLeftCell="A42" zoomScale="101" workbookViewId="0">
      <selection activeCell="Q18" sqref="Q18"/>
    </sheetView>
  </sheetViews>
  <sheetFormatPr baseColWidth="10" defaultRowHeight="15" x14ac:dyDescent="0.2"/>
  <cols>
    <col min="1" max="1" width="23.83203125" bestFit="1" customWidth="1"/>
    <col min="33" max="33" width="10.83203125" customWidth="1"/>
  </cols>
  <sheetData>
    <row r="1" spans="1:37" ht="16" thickBot="1" x14ac:dyDescent="0.25">
      <c r="A1" t="s">
        <v>219</v>
      </c>
      <c r="B1" s="3">
        <v>2013</v>
      </c>
      <c r="C1" s="3">
        <f>B1+1</f>
        <v>2014</v>
      </c>
      <c r="D1" s="3">
        <f t="shared" ref="D1:N1" si="0">C1+1</f>
        <v>2015</v>
      </c>
      <c r="E1" s="3">
        <f t="shared" si="0"/>
        <v>2016</v>
      </c>
      <c r="F1" s="3">
        <f t="shared" si="0"/>
        <v>2017</v>
      </c>
      <c r="G1" s="3">
        <f t="shared" si="0"/>
        <v>2018</v>
      </c>
      <c r="H1" s="3">
        <f t="shared" si="0"/>
        <v>2019</v>
      </c>
      <c r="I1" s="3">
        <f t="shared" si="0"/>
        <v>2020</v>
      </c>
      <c r="J1" s="3">
        <f t="shared" si="0"/>
        <v>2021</v>
      </c>
      <c r="K1" s="3">
        <f t="shared" si="0"/>
        <v>2022</v>
      </c>
      <c r="L1" s="3">
        <f t="shared" si="0"/>
        <v>2023</v>
      </c>
      <c r="M1" s="3">
        <f t="shared" si="0"/>
        <v>2024</v>
      </c>
      <c r="N1" s="3">
        <f t="shared" si="0"/>
        <v>2025</v>
      </c>
      <c r="O1" s="24" t="s">
        <v>262</v>
      </c>
      <c r="P1" s="24" t="s">
        <v>224</v>
      </c>
    </row>
    <row r="2" spans="1:37" x14ac:dyDescent="0.2">
      <c r="A2" s="5" t="str">
        <f>'Firm list'!B2</f>
        <v>Mārupes Metālmeistars</v>
      </c>
      <c r="B2" s="11">
        <v>80</v>
      </c>
      <c r="C2" s="13">
        <v>80</v>
      </c>
      <c r="D2" s="13">
        <v>80</v>
      </c>
      <c r="E2" s="12">
        <v>90</v>
      </c>
      <c r="F2" s="13">
        <v>96</v>
      </c>
      <c r="G2" s="13">
        <v>105</v>
      </c>
      <c r="H2" s="13">
        <v>105</v>
      </c>
      <c r="I2" s="11">
        <v>115</v>
      </c>
      <c r="J2" s="11">
        <v>117</v>
      </c>
      <c r="K2" s="11">
        <v>114</v>
      </c>
      <c r="L2" s="11">
        <v>75</v>
      </c>
      <c r="M2" s="11">
        <v>73</v>
      </c>
      <c r="N2" s="11">
        <v>75</v>
      </c>
      <c r="O2" s="46" t="s">
        <v>263</v>
      </c>
      <c r="P2" s="23"/>
    </row>
    <row r="3" spans="1:37" x14ac:dyDescent="0.2">
      <c r="A3" s="6" t="str">
        <f>'Firm list'!B3</f>
        <v>TECNOPALI NORTH EUROPE</v>
      </c>
      <c r="B3" s="11">
        <v>31</v>
      </c>
      <c r="C3" s="13">
        <v>33</v>
      </c>
      <c r="D3" s="13">
        <v>38</v>
      </c>
      <c r="E3" s="12">
        <v>37</v>
      </c>
      <c r="F3" s="13">
        <v>38</v>
      </c>
      <c r="G3" s="13">
        <v>44</v>
      </c>
      <c r="H3" s="13">
        <v>49</v>
      </c>
      <c r="I3" s="11">
        <v>58</v>
      </c>
      <c r="J3" s="11">
        <v>61</v>
      </c>
      <c r="K3" s="11">
        <v>59</v>
      </c>
      <c r="L3" s="11">
        <v>63</v>
      </c>
      <c r="M3" s="11">
        <v>63</v>
      </c>
      <c r="N3" s="11" t="s">
        <v>222</v>
      </c>
      <c r="O3" s="44" t="s">
        <v>263</v>
      </c>
      <c r="P3" s="20"/>
    </row>
    <row r="4" spans="1:37" x14ac:dyDescent="0.2">
      <c r="A4" s="6" t="str">
        <f>'Firm list'!B4</f>
        <v>Ventspils Brīvostas pārvalde</v>
      </c>
      <c r="B4" s="11" t="s">
        <v>222</v>
      </c>
      <c r="C4" s="13" t="s">
        <v>222</v>
      </c>
      <c r="D4" s="13" t="s">
        <v>222</v>
      </c>
      <c r="E4" s="12" t="s">
        <v>222</v>
      </c>
      <c r="F4" s="13" t="s">
        <v>222</v>
      </c>
      <c r="G4" s="13">
        <v>275</v>
      </c>
      <c r="H4" s="13">
        <v>269</v>
      </c>
      <c r="I4" s="11">
        <v>237</v>
      </c>
      <c r="J4" s="11">
        <v>212</v>
      </c>
      <c r="K4" s="11">
        <v>185</v>
      </c>
      <c r="L4" s="11">
        <v>178</v>
      </c>
      <c r="M4" s="11">
        <v>182</v>
      </c>
      <c r="N4" s="11" t="s">
        <v>222</v>
      </c>
      <c r="O4" s="43" t="s">
        <v>264</v>
      </c>
      <c r="P4" s="20"/>
      <c r="AI4" s="89"/>
      <c r="AJ4" s="89"/>
      <c r="AK4" s="85"/>
    </row>
    <row r="5" spans="1:37" x14ac:dyDescent="0.2">
      <c r="A5" s="6" t="str">
        <f>'Firm list'!B5</f>
        <v>Tukuma Piens</v>
      </c>
      <c r="B5" s="11">
        <v>245</v>
      </c>
      <c r="C5" s="13">
        <v>245</v>
      </c>
      <c r="D5" s="13">
        <v>249</v>
      </c>
      <c r="E5" s="12">
        <v>217</v>
      </c>
      <c r="F5" s="13">
        <v>205</v>
      </c>
      <c r="G5" s="13">
        <v>211</v>
      </c>
      <c r="H5" s="13">
        <v>209</v>
      </c>
      <c r="I5" s="11">
        <v>215</v>
      </c>
      <c r="J5" s="11">
        <v>220</v>
      </c>
      <c r="K5" s="11">
        <v>192</v>
      </c>
      <c r="L5" s="11">
        <v>215</v>
      </c>
      <c r="M5" s="11">
        <v>225</v>
      </c>
      <c r="N5" s="11" t="s">
        <v>222</v>
      </c>
      <c r="O5" s="44" t="s">
        <v>263</v>
      </c>
      <c r="P5" s="20"/>
      <c r="AI5" s="89"/>
      <c r="AJ5" s="89"/>
      <c r="AK5" s="85"/>
    </row>
    <row r="6" spans="1:37" ht="16" thickBot="1" x14ac:dyDescent="0.25">
      <c r="A6" s="6" t="str">
        <f>'Firm list'!B6</f>
        <v>Vecās Ostmalas Biznesa Parks</v>
      </c>
      <c r="B6" s="11" t="s">
        <v>222</v>
      </c>
      <c r="C6" s="13">
        <v>0</v>
      </c>
      <c r="D6" s="13">
        <v>1</v>
      </c>
      <c r="E6" s="12">
        <v>2</v>
      </c>
      <c r="F6" s="13">
        <v>5</v>
      </c>
      <c r="G6" s="13">
        <v>5</v>
      </c>
      <c r="H6" s="13">
        <v>4</v>
      </c>
      <c r="I6" s="11">
        <v>4</v>
      </c>
      <c r="J6" s="11">
        <v>7</v>
      </c>
      <c r="K6" s="11">
        <v>6</v>
      </c>
      <c r="L6" s="11">
        <v>6</v>
      </c>
      <c r="M6" s="11">
        <v>5</v>
      </c>
      <c r="N6" s="11">
        <v>5</v>
      </c>
      <c r="O6" s="44" t="s">
        <v>263</v>
      </c>
      <c r="P6" s="20"/>
      <c r="S6" s="24" t="s">
        <v>333</v>
      </c>
      <c r="T6" s="24" t="s">
        <v>332</v>
      </c>
      <c r="U6" s="24" t="s">
        <v>331</v>
      </c>
      <c r="V6" s="24" t="s">
        <v>334</v>
      </c>
      <c r="W6" s="24" t="s">
        <v>335</v>
      </c>
      <c r="X6" s="24" t="s">
        <v>336</v>
      </c>
    </row>
    <row r="7" spans="1:37" x14ac:dyDescent="0.2">
      <c r="A7" s="6" t="str">
        <f>'Firm list'!B7</f>
        <v>TRAPI</v>
      </c>
      <c r="B7" s="11" t="s">
        <v>222</v>
      </c>
      <c r="C7" s="13" t="s">
        <v>222</v>
      </c>
      <c r="D7" s="13" t="s">
        <v>222</v>
      </c>
      <c r="E7" s="12">
        <v>0</v>
      </c>
      <c r="F7" s="13">
        <v>0</v>
      </c>
      <c r="G7" s="15">
        <v>2</v>
      </c>
      <c r="H7" s="13">
        <v>2</v>
      </c>
      <c r="I7" s="11">
        <v>2</v>
      </c>
      <c r="J7" s="11">
        <v>3</v>
      </c>
      <c r="K7" s="11">
        <v>3</v>
      </c>
      <c r="L7" s="11">
        <v>3</v>
      </c>
      <c r="M7" s="11">
        <v>3</v>
      </c>
      <c r="N7" s="11">
        <v>3</v>
      </c>
      <c r="O7" s="43" t="s">
        <v>264</v>
      </c>
      <c r="P7" s="20"/>
      <c r="S7" s="60">
        <v>80</v>
      </c>
      <c r="T7" s="61">
        <v>80</v>
      </c>
      <c r="U7" s="62">
        <v>90</v>
      </c>
      <c r="V7" s="61">
        <v>96</v>
      </c>
      <c r="W7" s="61">
        <v>105</v>
      </c>
      <c r="X7" s="63">
        <v>105</v>
      </c>
      <c r="AB7" s="89"/>
      <c r="AC7" s="89"/>
      <c r="AD7" s="89"/>
      <c r="AE7" s="89"/>
      <c r="AF7" s="89">
        <f>X7-W7</f>
        <v>0</v>
      </c>
    </row>
    <row r="8" spans="1:37" x14ac:dyDescent="0.2">
      <c r="A8" s="6" t="str">
        <f>'Firm list'!B8</f>
        <v>GP TEHNOPARKI</v>
      </c>
      <c r="B8" s="11" t="s">
        <v>222</v>
      </c>
      <c r="C8" s="13" t="s">
        <v>222</v>
      </c>
      <c r="D8" s="13" t="s">
        <v>222</v>
      </c>
      <c r="E8" s="12">
        <v>1</v>
      </c>
      <c r="F8" s="13">
        <v>5</v>
      </c>
      <c r="G8" s="13">
        <v>6</v>
      </c>
      <c r="H8" s="13">
        <v>6</v>
      </c>
      <c r="I8" s="11">
        <v>1</v>
      </c>
      <c r="J8" s="11">
        <v>1</v>
      </c>
      <c r="K8" s="11">
        <v>2</v>
      </c>
      <c r="L8" s="11">
        <v>2</v>
      </c>
      <c r="M8" s="11">
        <v>0</v>
      </c>
      <c r="N8" s="11">
        <v>0</v>
      </c>
      <c r="O8" s="43" t="s">
        <v>264</v>
      </c>
      <c r="P8" s="20"/>
      <c r="S8" s="60">
        <v>33</v>
      </c>
      <c r="T8" s="61">
        <v>38</v>
      </c>
      <c r="U8" s="62">
        <v>37</v>
      </c>
      <c r="V8" s="61">
        <v>38</v>
      </c>
      <c r="W8" s="61">
        <v>44</v>
      </c>
      <c r="X8" s="63">
        <v>49</v>
      </c>
      <c r="AB8" s="89"/>
      <c r="AC8" s="89"/>
      <c r="AD8" s="89"/>
    </row>
    <row r="9" spans="1:37" x14ac:dyDescent="0.2">
      <c r="A9" s="6" t="str">
        <f>'Firm list'!B9</f>
        <v>NTC INVESTĪCIJAS</v>
      </c>
      <c r="B9" s="11" t="s">
        <v>222</v>
      </c>
      <c r="C9" s="13">
        <v>0</v>
      </c>
      <c r="D9" s="13">
        <v>0</v>
      </c>
      <c r="E9" s="12">
        <v>0</v>
      </c>
      <c r="F9" s="13">
        <v>0</v>
      </c>
      <c r="G9" s="13">
        <v>0</v>
      </c>
      <c r="H9" s="13">
        <v>0</v>
      </c>
      <c r="I9" s="11">
        <v>0</v>
      </c>
      <c r="J9" s="11">
        <v>0</v>
      </c>
      <c r="K9" s="11">
        <v>0</v>
      </c>
      <c r="L9" s="11">
        <v>0</v>
      </c>
      <c r="M9" s="11">
        <v>1</v>
      </c>
      <c r="N9" s="11">
        <v>1</v>
      </c>
      <c r="O9" s="22" t="s">
        <v>264</v>
      </c>
      <c r="P9" s="25" t="s">
        <v>269</v>
      </c>
      <c r="S9" s="60">
        <v>245</v>
      </c>
      <c r="T9" s="61">
        <v>249</v>
      </c>
      <c r="U9" s="62">
        <v>217</v>
      </c>
      <c r="V9" s="61">
        <v>205</v>
      </c>
      <c r="W9" s="61">
        <v>211</v>
      </c>
      <c r="X9" s="63">
        <v>209</v>
      </c>
      <c r="AB9" s="89"/>
      <c r="AC9" s="89"/>
      <c r="AD9" s="89"/>
    </row>
    <row r="10" spans="1:37" x14ac:dyDescent="0.2">
      <c r="A10" s="6" t="str">
        <f>'Firm list'!B10</f>
        <v>TENAX</v>
      </c>
      <c r="B10" s="11">
        <v>18</v>
      </c>
      <c r="C10" s="13">
        <v>17</v>
      </c>
      <c r="D10" s="13">
        <v>17</v>
      </c>
      <c r="E10" s="12">
        <v>7</v>
      </c>
      <c r="F10" s="13">
        <v>7</v>
      </c>
      <c r="G10" s="13">
        <v>14</v>
      </c>
      <c r="H10" s="13">
        <v>15</v>
      </c>
      <c r="I10" s="11">
        <v>13</v>
      </c>
      <c r="J10" s="11">
        <v>14</v>
      </c>
      <c r="K10" s="11">
        <v>14</v>
      </c>
      <c r="L10" s="11">
        <v>13</v>
      </c>
      <c r="M10" s="11">
        <v>14</v>
      </c>
      <c r="N10" s="11" t="s">
        <v>222</v>
      </c>
      <c r="O10" s="44" t="s">
        <v>263</v>
      </c>
      <c r="P10" s="20"/>
      <c r="S10" s="60">
        <v>0</v>
      </c>
      <c r="T10" s="61">
        <v>1</v>
      </c>
      <c r="U10" s="62">
        <v>2</v>
      </c>
      <c r="V10" s="61">
        <v>5</v>
      </c>
      <c r="W10" s="61">
        <v>5</v>
      </c>
      <c r="X10" s="63">
        <v>4</v>
      </c>
      <c r="AB10" s="89"/>
      <c r="AC10" s="89"/>
      <c r="AD10" s="89"/>
    </row>
    <row r="11" spans="1:37" x14ac:dyDescent="0.2">
      <c r="A11" s="6" t="str">
        <f>'Firm list'!B11</f>
        <v>IT INTERNATIONAL</v>
      </c>
      <c r="B11" s="11">
        <v>22</v>
      </c>
      <c r="C11" s="13">
        <v>9</v>
      </c>
      <c r="D11" s="13">
        <v>8</v>
      </c>
      <c r="E11" s="12">
        <v>12</v>
      </c>
      <c r="F11" s="13">
        <v>7</v>
      </c>
      <c r="G11" s="13">
        <v>1</v>
      </c>
      <c r="H11" s="13" t="s">
        <v>222</v>
      </c>
      <c r="I11" s="11" t="s">
        <v>222</v>
      </c>
      <c r="J11" s="11" t="s">
        <v>222</v>
      </c>
      <c r="K11" s="11" t="s">
        <v>222</v>
      </c>
      <c r="L11" s="11" t="s">
        <v>222</v>
      </c>
      <c r="M11" s="11" t="s">
        <v>222</v>
      </c>
      <c r="N11" s="11" t="s">
        <v>222</v>
      </c>
      <c r="O11" s="22" t="s">
        <v>264</v>
      </c>
      <c r="P11" s="20" t="s">
        <v>266</v>
      </c>
      <c r="S11" s="60">
        <v>17</v>
      </c>
      <c r="T11" s="61">
        <v>17</v>
      </c>
      <c r="U11" s="62">
        <v>7</v>
      </c>
      <c r="V11" s="61">
        <v>7</v>
      </c>
      <c r="W11" s="61">
        <v>14</v>
      </c>
      <c r="X11" s="63">
        <v>15</v>
      </c>
      <c r="AB11" s="89"/>
      <c r="AC11" s="89"/>
      <c r="AD11" s="89"/>
    </row>
    <row r="12" spans="1:37" x14ac:dyDescent="0.2">
      <c r="A12" s="6" t="str">
        <f>'Firm list'!B12</f>
        <v>iCotton</v>
      </c>
      <c r="B12" s="11">
        <v>37</v>
      </c>
      <c r="C12" s="11">
        <v>64</v>
      </c>
      <c r="D12" s="13">
        <v>109</v>
      </c>
      <c r="E12" s="13">
        <v>150</v>
      </c>
      <c r="F12" s="12">
        <v>149</v>
      </c>
      <c r="G12" s="13">
        <v>168</v>
      </c>
      <c r="H12" s="13">
        <v>127</v>
      </c>
      <c r="I12" s="13">
        <v>111</v>
      </c>
      <c r="J12" s="11">
        <v>143</v>
      </c>
      <c r="K12" s="11">
        <v>152</v>
      </c>
      <c r="L12" s="11">
        <v>158</v>
      </c>
      <c r="M12" s="11">
        <v>143</v>
      </c>
      <c r="N12" s="11">
        <v>140</v>
      </c>
      <c r="O12" s="44" t="s">
        <v>263</v>
      </c>
      <c r="P12" s="20"/>
      <c r="S12" s="60">
        <v>109</v>
      </c>
      <c r="T12" s="61">
        <v>150</v>
      </c>
      <c r="U12" s="62">
        <v>149</v>
      </c>
      <c r="V12" s="61">
        <v>168</v>
      </c>
      <c r="W12" s="61">
        <v>127</v>
      </c>
      <c r="X12" s="63">
        <v>111</v>
      </c>
      <c r="AB12" s="89"/>
      <c r="AC12" s="89"/>
      <c r="AD12" s="89"/>
    </row>
    <row r="13" spans="1:37" x14ac:dyDescent="0.2">
      <c r="A13" s="6" t="str">
        <f>'Firm list'!B13</f>
        <v>Lyngson</v>
      </c>
      <c r="B13" s="11">
        <v>98</v>
      </c>
      <c r="C13" s="11">
        <v>105</v>
      </c>
      <c r="D13" s="13">
        <v>108</v>
      </c>
      <c r="E13" s="13">
        <v>107</v>
      </c>
      <c r="F13" s="12">
        <v>112</v>
      </c>
      <c r="G13" s="13">
        <v>133</v>
      </c>
      <c r="H13" s="13">
        <v>134</v>
      </c>
      <c r="I13" s="13">
        <v>130</v>
      </c>
      <c r="J13" s="11">
        <v>128</v>
      </c>
      <c r="K13" s="11">
        <v>128</v>
      </c>
      <c r="L13" s="11">
        <v>127</v>
      </c>
      <c r="M13" s="11">
        <v>114</v>
      </c>
      <c r="N13" s="11" t="s">
        <v>222</v>
      </c>
      <c r="O13" s="44" t="s">
        <v>263</v>
      </c>
      <c r="P13" s="20"/>
      <c r="S13" s="60">
        <v>108</v>
      </c>
      <c r="T13" s="61">
        <v>107</v>
      </c>
      <c r="U13" s="62">
        <v>112</v>
      </c>
      <c r="V13" s="61">
        <v>133</v>
      </c>
      <c r="W13" s="61">
        <v>134</v>
      </c>
      <c r="X13" s="63">
        <v>130</v>
      </c>
      <c r="AB13" s="89"/>
      <c r="AC13" s="89"/>
      <c r="AD13" s="89"/>
    </row>
    <row r="14" spans="1:37" x14ac:dyDescent="0.2">
      <c r="A14" s="6" t="str">
        <f>'Firm list'!B14</f>
        <v>Piebalgas</v>
      </c>
      <c r="B14" s="11">
        <v>79</v>
      </c>
      <c r="C14" s="11">
        <v>79</v>
      </c>
      <c r="D14" s="13">
        <v>70</v>
      </c>
      <c r="E14" s="13">
        <v>68</v>
      </c>
      <c r="F14" s="12">
        <v>66</v>
      </c>
      <c r="G14" s="13">
        <v>66</v>
      </c>
      <c r="H14" s="13">
        <v>63</v>
      </c>
      <c r="I14" s="13">
        <v>63</v>
      </c>
      <c r="J14" s="11">
        <v>63</v>
      </c>
      <c r="K14" s="11">
        <v>62</v>
      </c>
      <c r="L14" s="11">
        <v>57</v>
      </c>
      <c r="M14" s="11">
        <v>57</v>
      </c>
      <c r="N14" s="11">
        <v>56</v>
      </c>
      <c r="O14" s="44" t="s">
        <v>263</v>
      </c>
      <c r="P14" s="20"/>
      <c r="S14" s="60">
        <v>70</v>
      </c>
      <c r="T14" s="61">
        <v>68</v>
      </c>
      <c r="U14" s="62">
        <v>66</v>
      </c>
      <c r="V14" s="61">
        <v>66</v>
      </c>
      <c r="W14" s="61">
        <v>63</v>
      </c>
      <c r="X14" s="63">
        <v>63</v>
      </c>
      <c r="AB14" s="89"/>
      <c r="AC14" s="89"/>
      <c r="AD14" s="89"/>
    </row>
    <row r="15" spans="1:37" x14ac:dyDescent="0.2">
      <c r="A15" s="6" t="str">
        <f>'Firm list'!B15</f>
        <v>Kronus</v>
      </c>
      <c r="B15" s="11" t="s">
        <v>222</v>
      </c>
      <c r="C15" s="11">
        <v>249</v>
      </c>
      <c r="D15" s="13">
        <v>249</v>
      </c>
      <c r="E15" s="13">
        <v>249</v>
      </c>
      <c r="F15" s="12">
        <v>249</v>
      </c>
      <c r="G15" s="13">
        <v>249</v>
      </c>
      <c r="H15" s="13">
        <v>356</v>
      </c>
      <c r="I15" s="13">
        <v>435</v>
      </c>
      <c r="J15" s="11">
        <v>542</v>
      </c>
      <c r="K15" s="11">
        <v>538</v>
      </c>
      <c r="L15" s="11">
        <v>565</v>
      </c>
      <c r="M15" s="11">
        <v>522</v>
      </c>
      <c r="N15" s="11" t="s">
        <v>222</v>
      </c>
      <c r="O15" s="44" t="s">
        <v>263</v>
      </c>
      <c r="P15" s="20"/>
      <c r="S15" s="60">
        <v>249</v>
      </c>
      <c r="T15" s="61">
        <v>249</v>
      </c>
      <c r="U15" s="62">
        <v>249</v>
      </c>
      <c r="V15" s="61">
        <v>249</v>
      </c>
      <c r="W15" s="61">
        <v>356</v>
      </c>
      <c r="X15" s="63">
        <v>435</v>
      </c>
      <c r="AB15" s="89"/>
      <c r="AC15" s="89"/>
      <c r="AD15" s="89"/>
    </row>
    <row r="16" spans="1:37" x14ac:dyDescent="0.2">
      <c r="A16" s="6" t="str">
        <f>'Firm list'!B16</f>
        <v>NPK Expert</v>
      </c>
      <c r="B16" s="11">
        <v>5</v>
      </c>
      <c r="C16" s="11">
        <v>33</v>
      </c>
      <c r="D16" s="13">
        <v>35</v>
      </c>
      <c r="E16" s="13">
        <v>3</v>
      </c>
      <c r="F16" s="12" t="s">
        <v>222</v>
      </c>
      <c r="G16" s="13" t="s">
        <v>222</v>
      </c>
      <c r="H16" s="13" t="s">
        <v>222</v>
      </c>
      <c r="I16" s="13" t="s">
        <v>222</v>
      </c>
      <c r="J16" s="11" t="s">
        <v>222</v>
      </c>
      <c r="K16" s="11" t="s">
        <v>222</v>
      </c>
      <c r="L16" s="11" t="s">
        <v>222</v>
      </c>
      <c r="M16" s="11" t="s">
        <v>222</v>
      </c>
      <c r="N16" s="11" t="s">
        <v>222</v>
      </c>
      <c r="O16" s="22" t="s">
        <v>264</v>
      </c>
      <c r="P16" s="20" t="s">
        <v>266</v>
      </c>
      <c r="S16" s="60">
        <v>4</v>
      </c>
      <c r="T16" s="61">
        <v>2</v>
      </c>
      <c r="U16" s="62">
        <v>3</v>
      </c>
      <c r="V16" s="61">
        <v>3</v>
      </c>
      <c r="W16" s="61">
        <v>4</v>
      </c>
      <c r="X16" s="63">
        <v>4</v>
      </c>
      <c r="AB16" s="89"/>
      <c r="AC16" s="89"/>
      <c r="AD16" s="89"/>
    </row>
    <row r="17" spans="1:33" x14ac:dyDescent="0.2">
      <c r="A17" s="6" t="str">
        <f>'Firm list'!B17</f>
        <v>EcoLead</v>
      </c>
      <c r="B17" s="11">
        <v>6</v>
      </c>
      <c r="C17" s="11">
        <v>6</v>
      </c>
      <c r="D17" s="13">
        <v>4</v>
      </c>
      <c r="E17" s="13">
        <v>2</v>
      </c>
      <c r="F17" s="12">
        <v>3</v>
      </c>
      <c r="G17" s="13">
        <v>3</v>
      </c>
      <c r="H17" s="13">
        <v>4</v>
      </c>
      <c r="I17" s="13">
        <v>4</v>
      </c>
      <c r="J17" s="11">
        <v>6</v>
      </c>
      <c r="K17" s="11">
        <v>9</v>
      </c>
      <c r="L17" s="11">
        <v>34</v>
      </c>
      <c r="M17" s="11">
        <v>44</v>
      </c>
      <c r="N17" s="11" t="s">
        <v>222</v>
      </c>
      <c r="O17" s="44" t="s">
        <v>263</v>
      </c>
      <c r="P17" s="20"/>
      <c r="S17" s="60">
        <v>3</v>
      </c>
      <c r="T17" s="61">
        <v>2</v>
      </c>
      <c r="U17" s="62">
        <v>1</v>
      </c>
      <c r="V17" s="61">
        <v>1</v>
      </c>
      <c r="W17" s="61">
        <v>6</v>
      </c>
      <c r="X17" s="63">
        <v>3</v>
      </c>
      <c r="AB17" s="89"/>
      <c r="AC17" s="56"/>
      <c r="AD17" s="89"/>
    </row>
    <row r="18" spans="1:33" x14ac:dyDescent="0.2">
      <c r="A18" s="6" t="str">
        <f>'Firm list'!B18</f>
        <v>Carbon energy systems</v>
      </c>
      <c r="B18" s="11">
        <v>1</v>
      </c>
      <c r="C18" s="11">
        <v>3</v>
      </c>
      <c r="D18" s="13">
        <v>3</v>
      </c>
      <c r="E18" s="13">
        <v>2</v>
      </c>
      <c r="F18" s="12">
        <v>1</v>
      </c>
      <c r="G18" s="13">
        <v>1</v>
      </c>
      <c r="H18" s="13">
        <v>6</v>
      </c>
      <c r="I18" s="13">
        <v>3</v>
      </c>
      <c r="J18" s="11">
        <v>3</v>
      </c>
      <c r="K18" s="11">
        <v>1</v>
      </c>
      <c r="L18" s="11">
        <v>2</v>
      </c>
      <c r="M18" s="11">
        <v>9</v>
      </c>
      <c r="N18" s="11">
        <v>10</v>
      </c>
      <c r="O18" s="44" t="s">
        <v>263</v>
      </c>
      <c r="P18" s="20"/>
      <c r="S18" s="60">
        <v>205</v>
      </c>
      <c r="T18" s="61">
        <v>221</v>
      </c>
      <c r="U18" s="62">
        <v>229</v>
      </c>
      <c r="V18" s="61">
        <v>226</v>
      </c>
      <c r="W18" s="61">
        <v>243</v>
      </c>
      <c r="X18" s="63">
        <v>230</v>
      </c>
      <c r="AB18" s="89"/>
      <c r="AC18" s="89"/>
      <c r="AD18" s="89"/>
    </row>
    <row r="19" spans="1:33" x14ac:dyDescent="0.2">
      <c r="A19" s="6" t="str">
        <f>'Firm list'!B19</f>
        <v>JĒKABPILS PMK</v>
      </c>
      <c r="B19" s="11">
        <v>233</v>
      </c>
      <c r="C19" s="11">
        <v>260</v>
      </c>
      <c r="D19" s="11">
        <v>226</v>
      </c>
      <c r="E19" s="11">
        <v>186</v>
      </c>
      <c r="F19" s="13">
        <v>205</v>
      </c>
      <c r="G19" s="13">
        <v>221</v>
      </c>
      <c r="H19" s="12">
        <v>229</v>
      </c>
      <c r="I19" s="13">
        <v>226</v>
      </c>
      <c r="J19" s="13">
        <v>243</v>
      </c>
      <c r="K19" s="13">
        <v>230</v>
      </c>
      <c r="L19" s="11">
        <v>236</v>
      </c>
      <c r="M19" s="11">
        <v>210</v>
      </c>
      <c r="N19" s="11" t="s">
        <v>222</v>
      </c>
      <c r="O19" s="44" t="s">
        <v>263</v>
      </c>
      <c r="P19" s="20"/>
      <c r="S19" s="60">
        <v>67</v>
      </c>
      <c r="T19" s="61">
        <v>68</v>
      </c>
      <c r="U19" s="62">
        <v>75</v>
      </c>
      <c r="V19" s="61">
        <v>71</v>
      </c>
      <c r="W19" s="61">
        <v>68</v>
      </c>
      <c r="X19" s="63">
        <v>67</v>
      </c>
      <c r="AB19" s="89"/>
      <c r="AC19" s="89"/>
      <c r="AD19" s="89"/>
    </row>
    <row r="20" spans="1:33" x14ac:dyDescent="0.2">
      <c r="A20" s="6" t="str">
        <f>'Firm list'!B20</f>
        <v>AmberBirch</v>
      </c>
      <c r="B20" s="11" t="s">
        <v>222</v>
      </c>
      <c r="C20" s="11" t="s">
        <v>222</v>
      </c>
      <c r="D20" s="11" t="s">
        <v>222</v>
      </c>
      <c r="E20" s="11" t="s">
        <v>222</v>
      </c>
      <c r="F20" s="13">
        <v>1</v>
      </c>
      <c r="G20" s="13">
        <v>1</v>
      </c>
      <c r="H20" s="12">
        <v>14</v>
      </c>
      <c r="I20" s="13">
        <v>60</v>
      </c>
      <c r="J20" s="13">
        <v>77</v>
      </c>
      <c r="K20" s="13">
        <v>83</v>
      </c>
      <c r="L20" s="11">
        <v>85</v>
      </c>
      <c r="M20" s="11">
        <v>87</v>
      </c>
      <c r="N20" s="11" t="s">
        <v>222</v>
      </c>
      <c r="O20" s="43" t="s">
        <v>264</v>
      </c>
      <c r="P20" s="20" t="s">
        <v>310</v>
      </c>
      <c r="S20" s="60">
        <v>7</v>
      </c>
      <c r="T20" s="61">
        <v>7</v>
      </c>
      <c r="U20" s="62">
        <v>6</v>
      </c>
      <c r="V20" s="61">
        <v>6</v>
      </c>
      <c r="W20" s="61">
        <v>6</v>
      </c>
      <c r="X20" s="63">
        <v>6</v>
      </c>
      <c r="AB20" s="89"/>
      <c r="AC20" s="89"/>
      <c r="AD20" s="89"/>
    </row>
    <row r="21" spans="1:33" x14ac:dyDescent="0.2">
      <c r="A21" s="6" t="str">
        <f>'Firm list'!B21</f>
        <v>VALMIERMUIŽAS ALUS</v>
      </c>
      <c r="B21" s="11">
        <v>30</v>
      </c>
      <c r="C21" s="11">
        <v>41</v>
      </c>
      <c r="D21" s="11">
        <v>52</v>
      </c>
      <c r="E21" s="11">
        <v>63</v>
      </c>
      <c r="F21" s="13">
        <v>67</v>
      </c>
      <c r="G21" s="13">
        <v>68</v>
      </c>
      <c r="H21" s="12">
        <v>75</v>
      </c>
      <c r="I21" s="13">
        <v>71</v>
      </c>
      <c r="J21" s="13">
        <v>68</v>
      </c>
      <c r="K21" s="13">
        <v>67</v>
      </c>
      <c r="L21" s="11">
        <v>111</v>
      </c>
      <c r="M21" s="11">
        <v>120</v>
      </c>
      <c r="N21" s="11">
        <v>127</v>
      </c>
      <c r="O21" s="44" t="s">
        <v>263</v>
      </c>
      <c r="P21" s="20"/>
      <c r="S21" s="60">
        <v>35</v>
      </c>
      <c r="T21" s="61">
        <v>60</v>
      </c>
      <c r="U21" s="62">
        <v>103</v>
      </c>
      <c r="V21" s="61">
        <v>96</v>
      </c>
      <c r="W21" s="61">
        <v>103</v>
      </c>
      <c r="X21" s="63">
        <v>108</v>
      </c>
      <c r="AB21" s="89"/>
      <c r="AC21" s="89"/>
      <c r="AD21" s="89"/>
    </row>
    <row r="22" spans="1:33" x14ac:dyDescent="0.2">
      <c r="A22" s="6" t="str">
        <f>'Firm list'!B22</f>
        <v>PUMAC LIEPAJA</v>
      </c>
      <c r="B22" s="11"/>
      <c r="C22" s="11">
        <v>10</v>
      </c>
      <c r="D22" s="11">
        <v>8</v>
      </c>
      <c r="E22" s="11">
        <v>7</v>
      </c>
      <c r="F22" s="13">
        <v>7</v>
      </c>
      <c r="G22" s="13">
        <v>7</v>
      </c>
      <c r="H22" s="12">
        <v>6</v>
      </c>
      <c r="I22" s="13">
        <v>6</v>
      </c>
      <c r="J22" s="13">
        <v>6</v>
      </c>
      <c r="K22" s="13">
        <v>6</v>
      </c>
      <c r="L22" s="11">
        <v>6</v>
      </c>
      <c r="M22" s="11">
        <v>6</v>
      </c>
      <c r="N22" s="11" t="s">
        <v>222</v>
      </c>
      <c r="O22" s="44" t="s">
        <v>263</v>
      </c>
      <c r="P22" s="20"/>
      <c r="S22" s="60">
        <v>82</v>
      </c>
      <c r="T22" s="61">
        <v>98</v>
      </c>
      <c r="U22" s="62">
        <v>111</v>
      </c>
      <c r="V22" s="61">
        <v>104</v>
      </c>
      <c r="W22" s="61">
        <v>115</v>
      </c>
      <c r="X22" s="63">
        <v>135</v>
      </c>
      <c r="AB22" s="89"/>
      <c r="AC22" s="89"/>
      <c r="AD22" s="89"/>
    </row>
    <row r="23" spans="1:33" x14ac:dyDescent="0.2">
      <c r="A23" s="6" t="str">
        <f>'Firm list'!B23</f>
        <v>CEWOOD</v>
      </c>
      <c r="B23" s="11">
        <v>0</v>
      </c>
      <c r="C23" s="11">
        <v>0</v>
      </c>
      <c r="D23" s="11">
        <v>2</v>
      </c>
      <c r="E23" s="11">
        <v>24</v>
      </c>
      <c r="F23" s="13">
        <v>35</v>
      </c>
      <c r="G23" s="13">
        <v>60</v>
      </c>
      <c r="H23" s="12">
        <v>103</v>
      </c>
      <c r="I23" s="13">
        <v>96</v>
      </c>
      <c r="J23" s="13">
        <v>103</v>
      </c>
      <c r="K23" s="13">
        <v>108</v>
      </c>
      <c r="L23" s="11">
        <v>131</v>
      </c>
      <c r="M23" s="11">
        <v>155</v>
      </c>
      <c r="N23" s="11" t="s">
        <v>222</v>
      </c>
      <c r="O23" s="44" t="s">
        <v>263</v>
      </c>
      <c r="P23" s="20"/>
      <c r="S23" s="60">
        <v>153</v>
      </c>
      <c r="T23" s="61">
        <v>174</v>
      </c>
      <c r="U23" s="62">
        <v>209</v>
      </c>
      <c r="V23" s="61">
        <v>206</v>
      </c>
      <c r="W23" s="61">
        <v>213</v>
      </c>
      <c r="X23" s="63">
        <v>246</v>
      </c>
      <c r="AB23" s="89"/>
      <c r="AC23" s="89"/>
      <c r="AD23" s="89"/>
    </row>
    <row r="24" spans="1:33" x14ac:dyDescent="0.2">
      <c r="A24" s="6" t="str">
        <f>'Firm list'!B24</f>
        <v>VUDLANDE</v>
      </c>
      <c r="B24" s="11">
        <v>73</v>
      </c>
      <c r="C24" s="11">
        <v>74</v>
      </c>
      <c r="D24" s="11">
        <v>74</v>
      </c>
      <c r="E24" s="11">
        <v>74</v>
      </c>
      <c r="F24" s="13">
        <v>82</v>
      </c>
      <c r="G24" s="13">
        <v>98</v>
      </c>
      <c r="H24" s="12">
        <v>111</v>
      </c>
      <c r="I24" s="13">
        <v>104</v>
      </c>
      <c r="J24" s="13">
        <v>115</v>
      </c>
      <c r="K24" s="13">
        <v>135</v>
      </c>
      <c r="L24" s="11">
        <v>102</v>
      </c>
      <c r="M24" s="11">
        <v>108</v>
      </c>
      <c r="N24" s="11">
        <v>108</v>
      </c>
      <c r="O24" s="44" t="s">
        <v>263</v>
      </c>
      <c r="P24" s="20"/>
      <c r="S24" s="60">
        <v>78</v>
      </c>
      <c r="T24" s="61">
        <v>83</v>
      </c>
      <c r="U24" s="62">
        <v>76</v>
      </c>
      <c r="V24" s="61">
        <v>73</v>
      </c>
      <c r="W24" s="61">
        <v>72</v>
      </c>
      <c r="X24" s="63">
        <v>64</v>
      </c>
      <c r="AB24" s="89"/>
      <c r="AC24" s="89"/>
      <c r="AD24" s="89"/>
    </row>
    <row r="25" spans="1:33" x14ac:dyDescent="0.2">
      <c r="A25" s="6" t="str">
        <f>'Firm list'!B25</f>
        <v>Artex Latvia</v>
      </c>
      <c r="B25" s="11">
        <v>59</v>
      </c>
      <c r="C25" s="11">
        <v>70</v>
      </c>
      <c r="D25" s="11">
        <v>86</v>
      </c>
      <c r="E25" s="11">
        <v>101</v>
      </c>
      <c r="F25" s="13">
        <v>153</v>
      </c>
      <c r="G25" s="13">
        <v>174</v>
      </c>
      <c r="H25" s="12">
        <v>209</v>
      </c>
      <c r="I25" s="13">
        <v>206</v>
      </c>
      <c r="J25" s="13">
        <v>213</v>
      </c>
      <c r="K25" s="13">
        <v>246</v>
      </c>
      <c r="L25" s="11">
        <v>277</v>
      </c>
      <c r="M25" s="11">
        <v>220</v>
      </c>
      <c r="N25" s="11">
        <v>192</v>
      </c>
      <c r="O25" s="44" t="s">
        <v>263</v>
      </c>
      <c r="P25" s="20"/>
      <c r="S25" s="60">
        <v>238</v>
      </c>
      <c r="T25" s="61">
        <v>200</v>
      </c>
      <c r="U25" s="62">
        <v>222</v>
      </c>
      <c r="V25" s="61">
        <v>248</v>
      </c>
      <c r="W25" s="61">
        <v>304</v>
      </c>
      <c r="X25" s="63">
        <v>350</v>
      </c>
      <c r="AB25" s="89"/>
      <c r="AC25" s="89"/>
      <c r="AD25" s="89"/>
    </row>
    <row r="26" spans="1:33" x14ac:dyDescent="0.2">
      <c r="A26" s="6" t="str">
        <f>'Firm list'!B26</f>
        <v>SFM Latvia</v>
      </c>
      <c r="B26" s="11">
        <v>30</v>
      </c>
      <c r="C26" s="11">
        <v>29</v>
      </c>
      <c r="D26" s="11">
        <v>39</v>
      </c>
      <c r="E26" s="11">
        <v>52</v>
      </c>
      <c r="F26" s="13">
        <v>78</v>
      </c>
      <c r="G26" s="13">
        <v>83</v>
      </c>
      <c r="H26" s="12">
        <v>76</v>
      </c>
      <c r="I26" s="13">
        <v>73</v>
      </c>
      <c r="J26" s="13">
        <v>72</v>
      </c>
      <c r="K26" s="13">
        <v>64</v>
      </c>
      <c r="L26" s="11">
        <v>68</v>
      </c>
      <c r="M26" s="11">
        <v>75</v>
      </c>
      <c r="N26" s="11">
        <v>95</v>
      </c>
      <c r="O26" s="44" t="s">
        <v>263</v>
      </c>
      <c r="P26" s="20"/>
      <c r="S26" s="60">
        <v>34</v>
      </c>
      <c r="T26" s="61">
        <v>57</v>
      </c>
      <c r="U26" s="62">
        <v>65</v>
      </c>
      <c r="V26" s="61">
        <v>88</v>
      </c>
      <c r="W26" s="61">
        <v>112</v>
      </c>
      <c r="X26" s="63">
        <v>93</v>
      </c>
      <c r="AB26" s="89"/>
      <c r="AC26" s="89"/>
      <c r="AD26" s="89"/>
    </row>
    <row r="27" spans="1:33" x14ac:dyDescent="0.2">
      <c r="A27" s="6" t="str">
        <f>'Firm list'!B27</f>
        <v>EB Liepāja</v>
      </c>
      <c r="B27" t="s">
        <v>222</v>
      </c>
      <c r="C27" t="s">
        <v>222</v>
      </c>
      <c r="D27" t="s">
        <v>222</v>
      </c>
      <c r="E27" t="s">
        <v>222</v>
      </c>
      <c r="F27" s="14" t="s">
        <v>222</v>
      </c>
      <c r="G27" s="13">
        <v>0</v>
      </c>
      <c r="H27" s="12">
        <v>0</v>
      </c>
      <c r="I27" s="13">
        <v>0</v>
      </c>
      <c r="J27" s="13">
        <v>0</v>
      </c>
      <c r="K27" s="13">
        <v>0</v>
      </c>
      <c r="L27" s="11">
        <v>0</v>
      </c>
      <c r="M27" s="11">
        <v>0</v>
      </c>
      <c r="N27" s="11">
        <v>0</v>
      </c>
      <c r="O27" s="22" t="s">
        <v>264</v>
      </c>
      <c r="P27" s="20" t="s">
        <v>267</v>
      </c>
      <c r="S27" s="60">
        <v>14</v>
      </c>
      <c r="T27" s="61">
        <v>18</v>
      </c>
      <c r="U27" s="62">
        <v>19</v>
      </c>
      <c r="V27" s="61">
        <v>24</v>
      </c>
      <c r="W27" s="61">
        <v>37</v>
      </c>
      <c r="X27" s="63">
        <v>45</v>
      </c>
      <c r="AB27" s="89"/>
      <c r="AC27" s="89"/>
      <c r="AD27" s="89"/>
    </row>
    <row r="28" spans="1:33" x14ac:dyDescent="0.2">
      <c r="A28" s="6" t="str">
        <f>'Firm list'!B28</f>
        <v>Stiga RM</v>
      </c>
      <c r="B28" s="11">
        <v>56</v>
      </c>
      <c r="C28" s="11">
        <v>67</v>
      </c>
      <c r="D28" s="11">
        <v>141</v>
      </c>
      <c r="E28" s="11">
        <v>99</v>
      </c>
      <c r="F28" s="11">
        <v>176</v>
      </c>
      <c r="G28" s="13">
        <v>238</v>
      </c>
      <c r="H28" s="13">
        <v>200</v>
      </c>
      <c r="I28" s="12">
        <v>222</v>
      </c>
      <c r="J28" s="13">
        <v>248</v>
      </c>
      <c r="K28" s="13">
        <v>304</v>
      </c>
      <c r="L28" s="13">
        <v>350</v>
      </c>
      <c r="M28" s="11">
        <v>409</v>
      </c>
      <c r="N28" s="11" t="s">
        <v>222</v>
      </c>
      <c r="O28" s="44" t="s">
        <v>263</v>
      </c>
      <c r="P28" s="20"/>
      <c r="S28" s="60">
        <v>64</v>
      </c>
      <c r="T28" s="61">
        <v>58</v>
      </c>
      <c r="U28" s="62">
        <v>61</v>
      </c>
      <c r="V28" s="61">
        <v>53</v>
      </c>
      <c r="W28" s="61">
        <v>52</v>
      </c>
      <c r="X28" s="63">
        <v>53</v>
      </c>
      <c r="AB28" s="89"/>
      <c r="AC28" s="89"/>
      <c r="AD28" s="89"/>
    </row>
    <row r="29" spans="1:33" x14ac:dyDescent="0.2">
      <c r="A29" s="6" t="str">
        <f>'Firm list'!B29</f>
        <v>Haugaard Baltic</v>
      </c>
      <c r="B29" s="11">
        <v>0</v>
      </c>
      <c r="C29" s="11">
        <v>0</v>
      </c>
      <c r="D29" s="11">
        <v>6</v>
      </c>
      <c r="E29" s="11">
        <v>12</v>
      </c>
      <c r="F29" s="11">
        <v>25</v>
      </c>
      <c r="G29" s="13">
        <v>34</v>
      </c>
      <c r="H29" s="13">
        <v>57</v>
      </c>
      <c r="I29" s="12">
        <v>65</v>
      </c>
      <c r="J29" s="13">
        <v>88</v>
      </c>
      <c r="K29" s="13">
        <v>112</v>
      </c>
      <c r="L29" s="13">
        <v>93</v>
      </c>
      <c r="M29" s="11">
        <v>96</v>
      </c>
      <c r="N29" s="11">
        <v>114</v>
      </c>
      <c r="O29" s="44" t="s">
        <v>263</v>
      </c>
      <c r="P29" s="20"/>
      <c r="S29" s="60">
        <v>144</v>
      </c>
      <c r="T29" s="61">
        <v>163</v>
      </c>
      <c r="U29" s="62">
        <v>156</v>
      </c>
      <c r="V29" s="61">
        <v>177</v>
      </c>
      <c r="W29" s="61">
        <v>198</v>
      </c>
      <c r="X29" s="63">
        <v>197</v>
      </c>
      <c r="AB29" s="89"/>
      <c r="AC29" s="89"/>
      <c r="AD29" s="89"/>
    </row>
    <row r="30" spans="1:33" ht="16" thickBot="1" x14ac:dyDescent="0.25">
      <c r="A30" s="6" t="str">
        <f>'Firm list'!B30</f>
        <v>IKTK</v>
      </c>
      <c r="B30" s="11">
        <v>0</v>
      </c>
      <c r="C30" s="11">
        <v>1</v>
      </c>
      <c r="D30" s="11">
        <v>4</v>
      </c>
      <c r="E30" s="11">
        <v>5</v>
      </c>
      <c r="F30" s="11">
        <v>9</v>
      </c>
      <c r="G30" s="13">
        <v>14</v>
      </c>
      <c r="H30" s="13">
        <v>18</v>
      </c>
      <c r="I30" s="12">
        <v>19</v>
      </c>
      <c r="J30" s="13">
        <v>24</v>
      </c>
      <c r="K30" s="13">
        <v>37</v>
      </c>
      <c r="L30" s="13">
        <v>45</v>
      </c>
      <c r="M30" s="11">
        <v>49</v>
      </c>
      <c r="N30" s="11">
        <v>54</v>
      </c>
      <c r="O30" s="44" t="s">
        <v>263</v>
      </c>
      <c r="P30" s="20"/>
      <c r="S30" s="60">
        <v>99</v>
      </c>
      <c r="T30" s="61">
        <v>114</v>
      </c>
      <c r="U30" s="62">
        <v>98</v>
      </c>
      <c r="V30" s="61">
        <v>117</v>
      </c>
      <c r="W30" s="61">
        <v>169</v>
      </c>
      <c r="X30" s="63">
        <v>154</v>
      </c>
      <c r="AB30" s="24" t="s">
        <v>333</v>
      </c>
      <c r="AC30" s="24" t="s">
        <v>332</v>
      </c>
      <c r="AD30" s="98" t="s">
        <v>331</v>
      </c>
      <c r="AE30" s="24" t="s">
        <v>334</v>
      </c>
      <c r="AF30" s="24" t="s">
        <v>335</v>
      </c>
      <c r="AG30" s="24" t="s">
        <v>336</v>
      </c>
    </row>
    <row r="31" spans="1:33" ht="16" thickBot="1" x14ac:dyDescent="0.25">
      <c r="A31" s="6" t="str">
        <f>'Firm list'!B31</f>
        <v>Scan-Plast Latvia</v>
      </c>
      <c r="B31" s="11">
        <v>80</v>
      </c>
      <c r="C31" s="11">
        <v>68</v>
      </c>
      <c r="D31" s="11">
        <v>72</v>
      </c>
      <c r="E31" s="11">
        <v>61</v>
      </c>
      <c r="F31" s="11">
        <v>63</v>
      </c>
      <c r="G31" s="13">
        <v>64</v>
      </c>
      <c r="H31" s="13">
        <v>58</v>
      </c>
      <c r="I31" s="12">
        <v>61</v>
      </c>
      <c r="J31" s="13">
        <v>53</v>
      </c>
      <c r="K31" s="13">
        <v>52</v>
      </c>
      <c r="L31" s="13">
        <v>53</v>
      </c>
      <c r="M31" s="11">
        <v>51</v>
      </c>
      <c r="N31" s="11">
        <v>51</v>
      </c>
      <c r="O31" s="44" t="s">
        <v>263</v>
      </c>
      <c r="P31" s="20"/>
      <c r="R31" t="s">
        <v>286</v>
      </c>
      <c r="S31" s="91">
        <f>SUM(S7:S30)</f>
        <v>2138</v>
      </c>
      <c r="T31" s="92">
        <f t="shared" ref="T31:X31" si="1">SUM(T7:T30)</f>
        <v>2284</v>
      </c>
      <c r="U31" s="92">
        <f t="shared" si="1"/>
        <v>2363</v>
      </c>
      <c r="V31" s="92">
        <f t="shared" si="1"/>
        <v>2460</v>
      </c>
      <c r="W31" s="92">
        <f t="shared" si="1"/>
        <v>2761</v>
      </c>
      <c r="X31" s="93">
        <f t="shared" si="1"/>
        <v>2876</v>
      </c>
      <c r="AA31" t="s">
        <v>360</v>
      </c>
      <c r="AB31">
        <v>2138</v>
      </c>
      <c r="AC31">
        <v>2284</v>
      </c>
      <c r="AD31">
        <v>2363</v>
      </c>
      <c r="AE31">
        <v>2460</v>
      </c>
      <c r="AF31">
        <v>2761</v>
      </c>
      <c r="AG31">
        <v>2876</v>
      </c>
    </row>
    <row r="32" spans="1:33" x14ac:dyDescent="0.2">
      <c r="A32" s="6" t="str">
        <f>'Firm list'!B32</f>
        <v>texmex</v>
      </c>
      <c r="B32" s="11" t="s">
        <v>222</v>
      </c>
      <c r="C32" s="11" t="s">
        <v>222</v>
      </c>
      <c r="D32" s="11" t="s">
        <v>222</v>
      </c>
      <c r="E32" s="11" t="s">
        <v>222</v>
      </c>
      <c r="F32" s="11" t="s">
        <v>222</v>
      </c>
      <c r="G32" s="13" t="s">
        <v>222</v>
      </c>
      <c r="H32" s="13" t="s">
        <v>222</v>
      </c>
      <c r="I32" s="12" t="s">
        <v>222</v>
      </c>
      <c r="J32" s="13" t="s">
        <v>222</v>
      </c>
      <c r="K32" s="13" t="s">
        <v>222</v>
      </c>
      <c r="L32" s="13" t="s">
        <v>222</v>
      </c>
      <c r="M32" s="11" t="s">
        <v>222</v>
      </c>
      <c r="N32" s="11" t="s">
        <v>222</v>
      </c>
      <c r="O32" s="43" t="s">
        <v>264</v>
      </c>
      <c r="P32" s="20"/>
      <c r="AA32" t="s">
        <v>361</v>
      </c>
      <c r="AB32">
        <v>2994</v>
      </c>
      <c r="AC32">
        <v>3110</v>
      </c>
      <c r="AD32">
        <v>3044</v>
      </c>
      <c r="AE32">
        <v>2941</v>
      </c>
      <c r="AF32">
        <v>2899</v>
      </c>
      <c r="AG32">
        <v>2786</v>
      </c>
    </row>
    <row r="33" spans="1:33" x14ac:dyDescent="0.2">
      <c r="A33" s="6" t="str">
        <f>'Firm list'!B33</f>
        <v>JELGAVAS TIPOGRĀFIJA</v>
      </c>
      <c r="B33" s="11">
        <v>112</v>
      </c>
      <c r="C33" s="11">
        <v>111</v>
      </c>
      <c r="D33" s="11">
        <v>124</v>
      </c>
      <c r="E33" s="11">
        <v>123</v>
      </c>
      <c r="F33" s="11">
        <v>129</v>
      </c>
      <c r="G33" s="13">
        <v>144</v>
      </c>
      <c r="H33" s="13">
        <v>163</v>
      </c>
      <c r="I33" s="12">
        <v>156</v>
      </c>
      <c r="J33" s="13">
        <v>177</v>
      </c>
      <c r="K33" s="13">
        <v>198</v>
      </c>
      <c r="L33" s="13">
        <v>197</v>
      </c>
      <c r="M33" s="11">
        <v>194</v>
      </c>
      <c r="N33" s="11">
        <v>197</v>
      </c>
      <c r="O33" s="44" t="s">
        <v>263</v>
      </c>
      <c r="P33" s="20"/>
      <c r="AA33" t="s">
        <v>355</v>
      </c>
      <c r="AE33" s="88">
        <f>(AE31-AD31)/AD31</f>
        <v>4.1049513330512058E-2</v>
      </c>
      <c r="AF33" s="88">
        <f>(AF31-AD31)/AD31</f>
        <v>0.1684299619128227</v>
      </c>
      <c r="AG33" s="88">
        <f>(AG31-AD31)/AD31</f>
        <v>0.21709691070672874</v>
      </c>
    </row>
    <row r="34" spans="1:33" x14ac:dyDescent="0.2">
      <c r="A34" s="6" t="str">
        <f>'Firm list'!B34</f>
        <v>ICS Property</v>
      </c>
      <c r="B34" s="11" t="s">
        <v>222</v>
      </c>
      <c r="C34" s="11" t="s">
        <v>222</v>
      </c>
      <c r="D34" s="11" t="s">
        <v>222</v>
      </c>
      <c r="E34" s="11" t="s">
        <v>222</v>
      </c>
      <c r="F34" s="11" t="s">
        <v>222</v>
      </c>
      <c r="G34" s="13" t="s">
        <v>222</v>
      </c>
      <c r="H34" s="13">
        <v>2</v>
      </c>
      <c r="I34" s="12">
        <v>2</v>
      </c>
      <c r="J34" s="13">
        <v>2</v>
      </c>
      <c r="K34" s="13">
        <v>2</v>
      </c>
      <c r="L34" s="13">
        <v>2</v>
      </c>
      <c r="M34" s="11">
        <v>2</v>
      </c>
      <c r="N34" s="11">
        <v>2</v>
      </c>
      <c r="O34" s="43" t="s">
        <v>264</v>
      </c>
      <c r="P34" s="20"/>
      <c r="AA34" t="s">
        <v>356</v>
      </c>
      <c r="AE34" s="88">
        <f>(AE32-AD32)/AD32</f>
        <v>-3.3837056504599214E-2</v>
      </c>
      <c r="AF34" s="88">
        <f>(AF32-AD32)/AD32</f>
        <v>-4.7634691195795005E-2</v>
      </c>
      <c r="AG34" s="88">
        <f>(AG32-AD32)/AD32</f>
        <v>-8.4756898817345591E-2</v>
      </c>
    </row>
    <row r="35" spans="1:33" ht="16" thickBot="1" x14ac:dyDescent="0.25">
      <c r="A35" s="7" t="str">
        <f>'Firm list'!B35</f>
        <v>VIZULO</v>
      </c>
      <c r="B35" s="11">
        <v>10</v>
      </c>
      <c r="C35" s="11">
        <v>20</v>
      </c>
      <c r="D35" s="11">
        <v>44</v>
      </c>
      <c r="E35" s="11">
        <v>45</v>
      </c>
      <c r="F35" s="11">
        <v>54</v>
      </c>
      <c r="G35" s="11">
        <v>73</v>
      </c>
      <c r="H35" s="13">
        <v>99</v>
      </c>
      <c r="I35" s="13">
        <v>114</v>
      </c>
      <c r="J35" s="12">
        <v>98</v>
      </c>
      <c r="K35" s="13">
        <v>117</v>
      </c>
      <c r="L35" s="13">
        <v>169</v>
      </c>
      <c r="M35" s="13">
        <v>154</v>
      </c>
      <c r="N35" s="11" t="s">
        <v>222</v>
      </c>
      <c r="O35" s="44" t="s">
        <v>263</v>
      </c>
      <c r="P35" s="20"/>
      <c r="AA35" t="s">
        <v>357</v>
      </c>
      <c r="AE35" s="86">
        <f>AE33-AE34</f>
        <v>7.4886569835111272E-2</v>
      </c>
      <c r="AF35" s="86">
        <f>AF33-AF34</f>
        <v>0.21606465310861769</v>
      </c>
      <c r="AG35" s="86">
        <f>AG33-AG34</f>
        <v>0.30185380952407431</v>
      </c>
    </row>
    <row r="36" spans="1:33" x14ac:dyDescent="0.2">
      <c r="AA36" t="s">
        <v>359</v>
      </c>
      <c r="AD36">
        <v>2363</v>
      </c>
      <c r="AE36" s="95">
        <f>AD31+AD31*AE34</f>
        <v>2283.0430354796322</v>
      </c>
      <c r="AF36" s="95">
        <f>AD31+AD31*AF34</f>
        <v>2250.4392247043365</v>
      </c>
      <c r="AG36" s="97">
        <f>AD31+AD31*AG34</f>
        <v>2162.7194480946123</v>
      </c>
    </row>
    <row r="37" spans="1:33" x14ac:dyDescent="0.2">
      <c r="N37" s="28" t="s">
        <v>273</v>
      </c>
      <c r="O37" s="29">
        <f>COUNTIF(O2:O35,"yes")</f>
        <v>24</v>
      </c>
    </row>
    <row r="38" spans="1:33" ht="16" thickBot="1" x14ac:dyDescent="0.25"/>
    <row r="39" spans="1:33" ht="16" thickBot="1" x14ac:dyDescent="0.25">
      <c r="A39" t="s">
        <v>362</v>
      </c>
      <c r="B39" s="3">
        <v>2013</v>
      </c>
      <c r="C39" s="3">
        <f>B39+1</f>
        <v>2014</v>
      </c>
      <c r="D39" s="3">
        <f t="shared" ref="D39:N39" si="2">C39+1</f>
        <v>2015</v>
      </c>
      <c r="E39" s="3">
        <f t="shared" si="2"/>
        <v>2016</v>
      </c>
      <c r="F39" s="3">
        <f t="shared" si="2"/>
        <v>2017</v>
      </c>
      <c r="G39" s="3">
        <f t="shared" si="2"/>
        <v>2018</v>
      </c>
      <c r="H39" s="3">
        <f t="shared" si="2"/>
        <v>2019</v>
      </c>
      <c r="I39" s="3">
        <f t="shared" si="2"/>
        <v>2020</v>
      </c>
      <c r="J39" s="3">
        <f t="shared" si="2"/>
        <v>2021</v>
      </c>
      <c r="K39" s="3">
        <f t="shared" si="2"/>
        <v>2022</v>
      </c>
      <c r="L39" s="3">
        <f t="shared" si="2"/>
        <v>2023</v>
      </c>
      <c r="M39" s="3">
        <f t="shared" si="2"/>
        <v>2024</v>
      </c>
      <c r="N39" s="3">
        <f t="shared" si="2"/>
        <v>2025</v>
      </c>
      <c r="O39" s="24" t="s">
        <v>262</v>
      </c>
      <c r="P39" s="24" t="s">
        <v>224</v>
      </c>
      <c r="S39" s="24" t="s">
        <v>333</v>
      </c>
      <c r="T39" s="24" t="s">
        <v>332</v>
      </c>
      <c r="U39" s="24" t="s">
        <v>331</v>
      </c>
      <c r="V39" s="24" t="s">
        <v>334</v>
      </c>
      <c r="W39" s="24" t="s">
        <v>335</v>
      </c>
      <c r="X39" s="24" t="s">
        <v>336</v>
      </c>
    </row>
    <row r="40" spans="1:33" x14ac:dyDescent="0.2">
      <c r="A40" s="5" t="s">
        <v>297</v>
      </c>
      <c r="B40" s="11"/>
      <c r="C40" s="13">
        <v>226</v>
      </c>
      <c r="D40" s="13">
        <v>200</v>
      </c>
      <c r="E40" s="12">
        <v>168</v>
      </c>
      <c r="F40" s="13">
        <v>191</v>
      </c>
      <c r="G40" s="13">
        <v>189</v>
      </c>
      <c r="H40" s="13">
        <v>165</v>
      </c>
      <c r="I40" s="11"/>
      <c r="J40" s="11"/>
      <c r="K40" s="11"/>
      <c r="L40" s="11"/>
      <c r="M40" s="11"/>
      <c r="N40" s="11"/>
      <c r="O40" s="23"/>
      <c r="P40" s="23"/>
      <c r="S40" s="60">
        <v>226</v>
      </c>
      <c r="T40" s="61">
        <v>200</v>
      </c>
      <c r="U40" s="62">
        <v>168</v>
      </c>
      <c r="V40" s="61">
        <v>191</v>
      </c>
      <c r="W40" s="61">
        <v>189</v>
      </c>
      <c r="X40" s="63">
        <v>165</v>
      </c>
    </row>
    <row r="41" spans="1:33" x14ac:dyDescent="0.2">
      <c r="A41" s="47" t="s">
        <v>296</v>
      </c>
      <c r="B41" s="11"/>
      <c r="C41" s="13">
        <v>34</v>
      </c>
      <c r="D41" s="13">
        <v>37</v>
      </c>
      <c r="E41" s="12">
        <v>46</v>
      </c>
      <c r="F41" s="13">
        <v>49</v>
      </c>
      <c r="G41" s="13">
        <v>49</v>
      </c>
      <c r="H41" s="13">
        <v>43</v>
      </c>
      <c r="I41" s="11"/>
      <c r="J41" s="11"/>
      <c r="K41" s="11"/>
      <c r="L41" s="11"/>
      <c r="M41" s="11"/>
      <c r="N41" s="11"/>
      <c r="O41" s="20"/>
      <c r="P41" s="20"/>
      <c r="S41" s="60">
        <v>34</v>
      </c>
      <c r="T41" s="61">
        <v>37</v>
      </c>
      <c r="U41" s="62">
        <v>46</v>
      </c>
      <c r="V41" s="61">
        <v>49</v>
      </c>
      <c r="W41" s="61">
        <v>49</v>
      </c>
      <c r="X41" s="63">
        <v>43</v>
      </c>
    </row>
    <row r="42" spans="1:33" x14ac:dyDescent="0.2">
      <c r="A42" s="6"/>
      <c r="B42" s="11"/>
      <c r="C42" s="13"/>
      <c r="D42" s="13"/>
      <c r="E42" s="12"/>
      <c r="F42" s="13"/>
      <c r="G42" s="13"/>
      <c r="H42" s="13"/>
      <c r="I42" s="11"/>
      <c r="J42" s="11"/>
      <c r="K42" s="11"/>
      <c r="L42" s="11"/>
      <c r="M42" s="11"/>
      <c r="N42" s="11"/>
      <c r="O42" s="21"/>
      <c r="P42" s="20"/>
      <c r="S42" s="60">
        <v>249</v>
      </c>
      <c r="T42" s="61">
        <v>269</v>
      </c>
      <c r="U42" s="62">
        <v>264</v>
      </c>
      <c r="V42" s="61">
        <v>252</v>
      </c>
      <c r="W42" s="61">
        <v>274</v>
      </c>
      <c r="X42" s="63">
        <v>276</v>
      </c>
    </row>
    <row r="43" spans="1:33" x14ac:dyDescent="0.2">
      <c r="A43" s="6" t="s">
        <v>298</v>
      </c>
      <c r="B43" s="11"/>
      <c r="C43" s="13">
        <v>249</v>
      </c>
      <c r="D43" s="13">
        <v>269</v>
      </c>
      <c r="E43" s="12">
        <v>264</v>
      </c>
      <c r="F43" s="13">
        <v>252</v>
      </c>
      <c r="G43" s="13">
        <v>274</v>
      </c>
      <c r="H43" s="13">
        <v>276</v>
      </c>
      <c r="I43" s="11"/>
      <c r="J43" s="11"/>
      <c r="K43" s="11"/>
      <c r="L43" s="11"/>
      <c r="M43" s="11"/>
      <c r="N43" s="11"/>
      <c r="O43" s="20"/>
      <c r="P43" s="20"/>
      <c r="S43" s="60">
        <v>10</v>
      </c>
      <c r="T43" s="61">
        <v>8</v>
      </c>
      <c r="U43" s="62">
        <v>8</v>
      </c>
      <c r="V43" s="61">
        <v>6</v>
      </c>
      <c r="W43" s="61">
        <v>4</v>
      </c>
      <c r="X43" s="63">
        <v>5</v>
      </c>
    </row>
    <row r="44" spans="1:33" x14ac:dyDescent="0.2">
      <c r="A44" s="6" t="s">
        <v>299</v>
      </c>
      <c r="B44" s="11"/>
      <c r="C44" s="13">
        <v>10</v>
      </c>
      <c r="D44" s="13">
        <v>8</v>
      </c>
      <c r="E44" s="12">
        <v>8</v>
      </c>
      <c r="F44" s="13">
        <v>6</v>
      </c>
      <c r="G44" s="13">
        <v>4</v>
      </c>
      <c r="H44" s="13">
        <v>5</v>
      </c>
      <c r="I44" s="11"/>
      <c r="J44" s="11"/>
      <c r="K44" s="11"/>
      <c r="L44" s="11"/>
      <c r="M44" s="11"/>
      <c r="N44" s="11"/>
      <c r="O44" s="20"/>
      <c r="P44" s="20"/>
      <c r="S44" s="60">
        <v>7</v>
      </c>
      <c r="T44" s="61">
        <v>11</v>
      </c>
      <c r="U44" s="62">
        <v>14</v>
      </c>
      <c r="V44" s="61">
        <v>11</v>
      </c>
      <c r="W44" s="61">
        <v>10</v>
      </c>
      <c r="X44" s="63">
        <v>13</v>
      </c>
    </row>
    <row r="45" spans="1:33" x14ac:dyDescent="0.2">
      <c r="A45" s="6"/>
      <c r="B45" s="11"/>
      <c r="C45" s="13"/>
      <c r="D45" s="13"/>
      <c r="E45" s="12"/>
      <c r="F45" s="13"/>
      <c r="G45" s="15"/>
      <c r="H45" s="13"/>
      <c r="I45" s="11"/>
      <c r="J45" s="11"/>
      <c r="K45" s="11"/>
      <c r="L45" s="11"/>
      <c r="M45" s="11"/>
      <c r="N45" s="11"/>
      <c r="O45" s="21"/>
      <c r="P45" s="20"/>
      <c r="S45" s="60">
        <v>199</v>
      </c>
      <c r="T45" s="61">
        <v>189</v>
      </c>
      <c r="U45" s="62">
        <v>183</v>
      </c>
      <c r="V45" s="61">
        <v>175</v>
      </c>
      <c r="W45" s="61">
        <v>170</v>
      </c>
      <c r="X45" s="63">
        <v>169</v>
      </c>
    </row>
    <row r="46" spans="1:33" x14ac:dyDescent="0.2">
      <c r="A46" s="6"/>
      <c r="B46" s="11"/>
      <c r="C46" s="13"/>
      <c r="D46" s="13"/>
      <c r="E46" s="12"/>
      <c r="F46" s="13"/>
      <c r="G46" s="13"/>
      <c r="H46" s="13"/>
      <c r="I46" s="11"/>
      <c r="J46" s="11"/>
      <c r="K46" s="11"/>
      <c r="L46" s="11"/>
      <c r="M46" s="11"/>
      <c r="N46" s="11"/>
      <c r="O46" s="21"/>
      <c r="P46" s="20"/>
      <c r="S46" s="60">
        <v>158</v>
      </c>
      <c r="T46" s="61">
        <v>171</v>
      </c>
      <c r="U46" s="62">
        <v>184</v>
      </c>
      <c r="V46" s="61">
        <v>203</v>
      </c>
      <c r="W46" s="61">
        <v>214</v>
      </c>
      <c r="X46" s="63">
        <v>210</v>
      </c>
    </row>
    <row r="47" spans="1:33" x14ac:dyDescent="0.2">
      <c r="A47" s="6"/>
      <c r="B47" s="11"/>
      <c r="C47" s="13"/>
      <c r="D47" s="13"/>
      <c r="E47" s="12"/>
      <c r="F47" s="13"/>
      <c r="G47" s="13"/>
      <c r="H47" s="13"/>
      <c r="I47" s="11"/>
      <c r="J47" s="11"/>
      <c r="K47" s="11"/>
      <c r="L47" s="11"/>
      <c r="M47" s="11"/>
      <c r="N47" s="11"/>
      <c r="O47" s="20"/>
      <c r="P47" s="25"/>
      <c r="S47" s="60">
        <v>23</v>
      </c>
      <c r="T47" s="61">
        <v>28</v>
      </c>
      <c r="U47" s="62">
        <v>28</v>
      </c>
      <c r="V47" s="61">
        <v>35</v>
      </c>
      <c r="W47" s="61">
        <v>37</v>
      </c>
      <c r="X47" s="63">
        <v>34</v>
      </c>
    </row>
    <row r="48" spans="1:33" x14ac:dyDescent="0.2">
      <c r="A48" s="6" t="s">
        <v>300</v>
      </c>
      <c r="B48" s="11"/>
      <c r="C48" s="13">
        <v>7</v>
      </c>
      <c r="D48" s="13">
        <v>11</v>
      </c>
      <c r="E48" s="12">
        <v>14</v>
      </c>
      <c r="F48" s="13">
        <v>11</v>
      </c>
      <c r="G48" s="13">
        <v>10</v>
      </c>
      <c r="H48" s="13">
        <v>13</v>
      </c>
      <c r="I48" s="11"/>
      <c r="J48" s="11"/>
      <c r="K48" s="11"/>
      <c r="L48" s="11"/>
      <c r="M48" s="11"/>
      <c r="N48" s="11"/>
      <c r="O48" s="20"/>
      <c r="P48" s="20"/>
      <c r="S48" s="60">
        <v>447</v>
      </c>
      <c r="T48" s="61">
        <v>489</v>
      </c>
      <c r="U48" s="62">
        <v>433</v>
      </c>
      <c r="V48" s="61">
        <v>372</v>
      </c>
      <c r="W48" s="61">
        <v>343</v>
      </c>
      <c r="X48" s="63">
        <v>357</v>
      </c>
    </row>
    <row r="49" spans="1:24" x14ac:dyDescent="0.2">
      <c r="A49" s="6"/>
      <c r="B49" s="11"/>
      <c r="C49" s="13"/>
      <c r="D49" s="13"/>
      <c r="E49" s="12"/>
      <c r="F49" s="13"/>
      <c r="G49" s="13"/>
      <c r="H49" s="13"/>
      <c r="I49" s="11"/>
      <c r="J49" s="11"/>
      <c r="K49" s="11"/>
      <c r="L49" s="11"/>
      <c r="M49" s="11"/>
      <c r="N49" s="11"/>
      <c r="O49" s="20"/>
      <c r="P49" s="20"/>
      <c r="S49" s="60">
        <v>3</v>
      </c>
      <c r="T49" s="61">
        <v>5</v>
      </c>
      <c r="U49" s="62">
        <v>5</v>
      </c>
      <c r="V49" s="61">
        <v>6</v>
      </c>
      <c r="W49" s="61">
        <v>6</v>
      </c>
      <c r="X49" s="63">
        <v>6</v>
      </c>
    </row>
    <row r="50" spans="1:24" x14ac:dyDescent="0.2">
      <c r="A50" s="6" t="s">
        <v>301</v>
      </c>
      <c r="B50" s="11"/>
      <c r="C50" s="11"/>
      <c r="D50" s="13">
        <v>199</v>
      </c>
      <c r="E50" s="13">
        <v>189</v>
      </c>
      <c r="F50" s="12">
        <v>183</v>
      </c>
      <c r="G50" s="13">
        <v>175</v>
      </c>
      <c r="H50" s="13">
        <v>170</v>
      </c>
      <c r="I50" s="13">
        <v>169</v>
      </c>
      <c r="J50" s="11"/>
      <c r="K50" s="11"/>
      <c r="L50" s="11"/>
      <c r="M50" s="11"/>
      <c r="N50" s="11"/>
      <c r="O50" s="20"/>
      <c r="P50" s="20"/>
      <c r="S50" s="60">
        <v>3</v>
      </c>
      <c r="T50" s="61">
        <v>5</v>
      </c>
      <c r="U50" s="62">
        <v>5</v>
      </c>
      <c r="V50" s="61">
        <v>1</v>
      </c>
      <c r="W50" s="61">
        <v>1</v>
      </c>
      <c r="X50" s="63">
        <v>1</v>
      </c>
    </row>
    <row r="51" spans="1:24" x14ac:dyDescent="0.2">
      <c r="A51" s="6" t="s">
        <v>303</v>
      </c>
      <c r="B51" s="11"/>
      <c r="C51" s="11"/>
      <c r="D51" s="13">
        <v>158</v>
      </c>
      <c r="E51" s="13">
        <v>171</v>
      </c>
      <c r="F51" s="12">
        <v>184</v>
      </c>
      <c r="G51" s="13">
        <v>203</v>
      </c>
      <c r="H51" s="13">
        <v>214</v>
      </c>
      <c r="I51" s="13">
        <v>210</v>
      </c>
      <c r="J51" s="11"/>
      <c r="K51" s="11"/>
      <c r="L51" s="11"/>
      <c r="M51" s="11"/>
      <c r="N51" s="11"/>
      <c r="O51" s="20"/>
      <c r="P51" s="20"/>
      <c r="S51" s="60">
        <v>57</v>
      </c>
      <c r="T51" s="61">
        <v>100</v>
      </c>
      <c r="U51" s="62">
        <v>116</v>
      </c>
      <c r="V51" s="61">
        <v>123</v>
      </c>
      <c r="W51" s="61">
        <v>121</v>
      </c>
      <c r="X51" s="63">
        <v>103</v>
      </c>
    </row>
    <row r="52" spans="1:24" x14ac:dyDescent="0.2">
      <c r="A52" s="6" t="s">
        <v>304</v>
      </c>
      <c r="B52" s="11"/>
      <c r="C52" s="11"/>
      <c r="D52" s="13">
        <v>23</v>
      </c>
      <c r="E52" s="13">
        <v>28</v>
      </c>
      <c r="F52" s="12">
        <v>28</v>
      </c>
      <c r="G52" s="13">
        <v>35</v>
      </c>
      <c r="H52" s="13">
        <v>37</v>
      </c>
      <c r="I52" s="13">
        <v>34</v>
      </c>
      <c r="J52" s="11"/>
      <c r="K52" s="11"/>
      <c r="L52" s="11"/>
      <c r="M52" s="11"/>
      <c r="N52" s="11"/>
      <c r="O52" s="20"/>
      <c r="P52" s="20"/>
      <c r="S52" s="60">
        <v>75</v>
      </c>
      <c r="T52" s="61">
        <v>75</v>
      </c>
      <c r="U52" s="62">
        <v>75</v>
      </c>
      <c r="V52" s="61">
        <v>64</v>
      </c>
      <c r="W52" s="61">
        <v>64</v>
      </c>
      <c r="X52" s="63">
        <v>61</v>
      </c>
    </row>
    <row r="53" spans="1:24" x14ac:dyDescent="0.2">
      <c r="A53" s="6" t="s">
        <v>306</v>
      </c>
      <c r="B53" s="11"/>
      <c r="C53" s="11"/>
      <c r="D53" s="13">
        <v>447</v>
      </c>
      <c r="E53" s="13">
        <v>489</v>
      </c>
      <c r="F53" s="12">
        <v>433</v>
      </c>
      <c r="G53" s="13">
        <v>372</v>
      </c>
      <c r="H53" s="13">
        <v>343</v>
      </c>
      <c r="I53" s="13">
        <v>357</v>
      </c>
      <c r="J53" s="11"/>
      <c r="K53" s="11"/>
      <c r="L53" s="11"/>
      <c r="M53" s="11"/>
      <c r="N53" s="11"/>
      <c r="O53" s="20"/>
      <c r="P53" s="20"/>
      <c r="S53" s="60">
        <v>8</v>
      </c>
      <c r="T53" s="61">
        <v>3</v>
      </c>
      <c r="U53" s="62">
        <v>4</v>
      </c>
      <c r="V53" s="61">
        <v>7</v>
      </c>
      <c r="W53" s="61">
        <v>19</v>
      </c>
      <c r="X53" s="63">
        <v>22</v>
      </c>
    </row>
    <row r="54" spans="1:24" x14ac:dyDescent="0.2">
      <c r="A54" s="6"/>
      <c r="B54" s="11"/>
      <c r="C54" s="11"/>
      <c r="D54" s="13"/>
      <c r="E54" s="13"/>
      <c r="F54" s="12"/>
      <c r="G54" s="13"/>
      <c r="H54" s="13"/>
      <c r="I54" s="13"/>
      <c r="J54" s="11"/>
      <c r="K54" s="11"/>
      <c r="L54" s="11"/>
      <c r="M54" s="11"/>
      <c r="N54" s="11"/>
      <c r="O54" s="20"/>
      <c r="P54" s="20"/>
      <c r="S54" s="60">
        <v>151</v>
      </c>
      <c r="T54" s="61">
        <v>155</v>
      </c>
      <c r="U54" s="62">
        <v>161</v>
      </c>
      <c r="V54" s="61">
        <v>161</v>
      </c>
      <c r="W54" s="61">
        <v>161</v>
      </c>
      <c r="X54" s="63">
        <v>144</v>
      </c>
    </row>
    <row r="55" spans="1:24" x14ac:dyDescent="0.2">
      <c r="A55" s="6" t="s">
        <v>307</v>
      </c>
      <c r="B55" s="11"/>
      <c r="C55" s="11"/>
      <c r="D55" s="13">
        <v>3</v>
      </c>
      <c r="E55" s="13">
        <v>5</v>
      </c>
      <c r="F55" s="12">
        <v>5</v>
      </c>
      <c r="G55" s="13">
        <v>6</v>
      </c>
      <c r="H55" s="13">
        <v>6</v>
      </c>
      <c r="I55" s="13">
        <v>6</v>
      </c>
      <c r="J55" s="11"/>
      <c r="K55" s="11"/>
      <c r="L55" s="11"/>
      <c r="M55" s="11"/>
      <c r="N55" s="11"/>
      <c r="O55" s="20"/>
      <c r="P55" s="20"/>
      <c r="S55" s="60">
        <v>89</v>
      </c>
      <c r="T55" s="61">
        <v>85</v>
      </c>
      <c r="U55" s="62">
        <v>78</v>
      </c>
      <c r="V55" s="61">
        <v>74</v>
      </c>
      <c r="W55" s="61">
        <v>78</v>
      </c>
      <c r="X55" s="63">
        <v>76</v>
      </c>
    </row>
    <row r="56" spans="1:24" x14ac:dyDescent="0.2">
      <c r="A56" s="6" t="s">
        <v>308</v>
      </c>
      <c r="B56" s="11"/>
      <c r="C56" s="11"/>
      <c r="D56" s="13">
        <v>3</v>
      </c>
      <c r="E56" s="13">
        <v>5</v>
      </c>
      <c r="F56" s="12">
        <v>5</v>
      </c>
      <c r="G56" s="13">
        <v>1</v>
      </c>
      <c r="H56" s="13">
        <v>1</v>
      </c>
      <c r="I56" s="13">
        <v>1</v>
      </c>
      <c r="J56" s="11"/>
      <c r="K56" s="11"/>
      <c r="L56" s="11"/>
      <c r="M56" s="11"/>
      <c r="N56" s="11"/>
      <c r="O56" s="20"/>
      <c r="P56" s="20"/>
      <c r="S56" s="60">
        <v>446</v>
      </c>
      <c r="T56" s="61">
        <v>452</v>
      </c>
      <c r="U56" s="62">
        <v>422</v>
      </c>
      <c r="V56" s="61">
        <v>384</v>
      </c>
      <c r="W56" s="61">
        <v>367</v>
      </c>
      <c r="X56" s="63">
        <v>360</v>
      </c>
    </row>
    <row r="57" spans="1:24" x14ac:dyDescent="0.2">
      <c r="A57" t="s">
        <v>309</v>
      </c>
      <c r="B57" s="11"/>
      <c r="C57" s="11"/>
      <c r="D57" s="11"/>
      <c r="E57" s="11"/>
      <c r="F57" s="13">
        <v>57</v>
      </c>
      <c r="G57" s="13">
        <v>100</v>
      </c>
      <c r="H57" s="12">
        <v>116</v>
      </c>
      <c r="I57" s="13">
        <v>123</v>
      </c>
      <c r="J57" s="13">
        <v>121</v>
      </c>
      <c r="K57" s="13">
        <v>103</v>
      </c>
      <c r="L57" s="11"/>
      <c r="M57" s="11"/>
      <c r="N57" s="11"/>
      <c r="O57" s="20"/>
      <c r="P57" s="20"/>
      <c r="S57" s="60">
        <v>36</v>
      </c>
      <c r="T57" s="61">
        <v>39</v>
      </c>
      <c r="U57" s="62">
        <v>50</v>
      </c>
      <c r="V57" s="61">
        <v>48</v>
      </c>
      <c r="W57" s="61">
        <v>51</v>
      </c>
      <c r="X57" s="63">
        <v>66</v>
      </c>
    </row>
    <row r="58" spans="1:24" x14ac:dyDescent="0.2">
      <c r="A58" s="6"/>
      <c r="B58" s="11"/>
      <c r="C58" s="11"/>
      <c r="D58" s="11"/>
      <c r="E58" s="11"/>
      <c r="F58" s="13"/>
      <c r="G58" s="13"/>
      <c r="H58" s="12">
        <v>75</v>
      </c>
      <c r="I58" s="13"/>
      <c r="J58" s="13"/>
      <c r="K58" s="13"/>
      <c r="L58" s="11"/>
      <c r="M58" s="11"/>
      <c r="N58" s="11"/>
      <c r="O58" s="21"/>
      <c r="P58" s="20"/>
      <c r="S58" s="60">
        <v>301</v>
      </c>
      <c r="T58" s="61">
        <v>296</v>
      </c>
      <c r="U58" s="62">
        <v>295</v>
      </c>
      <c r="V58" s="61">
        <v>273</v>
      </c>
      <c r="W58" s="61">
        <v>263</v>
      </c>
      <c r="X58" s="63">
        <v>244</v>
      </c>
    </row>
    <row r="59" spans="1:24" x14ac:dyDescent="0.2">
      <c r="A59" s="6" t="s">
        <v>311</v>
      </c>
      <c r="B59" s="11"/>
      <c r="C59" s="11"/>
      <c r="D59" s="11"/>
      <c r="E59" s="11"/>
      <c r="F59" s="13">
        <v>75</v>
      </c>
      <c r="G59" s="13">
        <v>75</v>
      </c>
      <c r="H59" s="12">
        <v>75</v>
      </c>
      <c r="I59" s="13">
        <v>64</v>
      </c>
      <c r="J59" s="13">
        <v>64</v>
      </c>
      <c r="K59" s="13">
        <v>61</v>
      </c>
      <c r="L59" s="11"/>
      <c r="M59" s="11"/>
      <c r="N59" s="11"/>
      <c r="O59" s="20"/>
      <c r="P59" s="20"/>
      <c r="S59" s="60">
        <v>86</v>
      </c>
      <c r="T59" s="61">
        <v>88</v>
      </c>
      <c r="U59" s="62">
        <v>96</v>
      </c>
      <c r="V59" s="61">
        <v>106</v>
      </c>
      <c r="W59" s="61">
        <v>71</v>
      </c>
      <c r="X59" s="63">
        <v>59</v>
      </c>
    </row>
    <row r="60" spans="1:24" x14ac:dyDescent="0.2">
      <c r="A60" s="6" t="s">
        <v>312</v>
      </c>
      <c r="B60" s="11"/>
      <c r="C60" s="11"/>
      <c r="D60" s="11"/>
      <c r="E60" s="11"/>
      <c r="F60" s="13">
        <v>8</v>
      </c>
      <c r="G60" s="13">
        <v>3</v>
      </c>
      <c r="H60" s="12">
        <v>4</v>
      </c>
      <c r="I60" s="13">
        <v>7</v>
      </c>
      <c r="J60" s="13">
        <v>19</v>
      </c>
      <c r="K60" s="13">
        <v>22</v>
      </c>
      <c r="L60" s="11"/>
      <c r="M60" s="11"/>
      <c r="N60" s="11"/>
      <c r="O60" s="20"/>
      <c r="P60" s="20"/>
      <c r="S60" s="60">
        <v>33</v>
      </c>
      <c r="T60" s="61">
        <v>34</v>
      </c>
      <c r="U60" s="62">
        <v>35</v>
      </c>
      <c r="V60" s="61">
        <v>38</v>
      </c>
      <c r="W60" s="61">
        <v>36</v>
      </c>
      <c r="X60" s="63">
        <v>40</v>
      </c>
    </row>
    <row r="61" spans="1:24" x14ac:dyDescent="0.2">
      <c r="A61" s="6" t="s">
        <v>314</v>
      </c>
      <c r="B61" s="11"/>
      <c r="C61" s="11"/>
      <c r="D61" s="11"/>
      <c r="E61" s="11"/>
      <c r="F61" s="13">
        <v>151</v>
      </c>
      <c r="G61" s="13">
        <v>155</v>
      </c>
      <c r="H61" s="12">
        <v>161</v>
      </c>
      <c r="I61" s="13">
        <v>161</v>
      </c>
      <c r="J61" s="13">
        <v>161</v>
      </c>
      <c r="K61" s="13">
        <v>144</v>
      </c>
      <c r="L61" s="11"/>
      <c r="M61" s="11"/>
      <c r="N61" s="11"/>
      <c r="O61" s="20"/>
      <c r="P61" s="20"/>
      <c r="S61" s="60">
        <v>64</v>
      </c>
      <c r="T61" s="61">
        <v>48</v>
      </c>
      <c r="U61" s="62">
        <v>33</v>
      </c>
      <c r="V61" s="61">
        <v>31</v>
      </c>
      <c r="W61" s="61">
        <v>42</v>
      </c>
      <c r="X61" s="63">
        <v>46</v>
      </c>
    </row>
    <row r="62" spans="1:24" x14ac:dyDescent="0.2">
      <c r="A62" s="6" t="s">
        <v>315</v>
      </c>
      <c r="B62" s="11"/>
      <c r="C62" s="11"/>
      <c r="D62" s="11"/>
      <c r="E62" s="11"/>
      <c r="F62" s="13">
        <v>89</v>
      </c>
      <c r="G62" s="13">
        <v>85</v>
      </c>
      <c r="H62" s="12">
        <v>78</v>
      </c>
      <c r="I62" s="13">
        <v>74</v>
      </c>
      <c r="J62" s="13">
        <v>78</v>
      </c>
      <c r="K62" s="13">
        <v>76</v>
      </c>
      <c r="L62" s="11"/>
      <c r="M62" s="11"/>
      <c r="N62" s="11"/>
      <c r="O62" s="20"/>
      <c r="P62" s="20"/>
      <c r="S62" s="60">
        <v>271</v>
      </c>
      <c r="T62" s="61">
        <v>297</v>
      </c>
      <c r="U62" s="62">
        <v>311</v>
      </c>
      <c r="V62" s="61">
        <v>300</v>
      </c>
      <c r="W62" s="61">
        <v>291</v>
      </c>
      <c r="X62" s="63">
        <v>251</v>
      </c>
    </row>
    <row r="63" spans="1:24" ht="16" thickBot="1" x14ac:dyDescent="0.25">
      <c r="A63" s="6" t="s">
        <v>317</v>
      </c>
      <c r="B63" s="11"/>
      <c r="C63" s="11"/>
      <c r="D63" s="11"/>
      <c r="E63" s="11"/>
      <c r="F63" s="13">
        <v>446</v>
      </c>
      <c r="G63" s="13">
        <v>452</v>
      </c>
      <c r="H63" s="12">
        <v>422</v>
      </c>
      <c r="I63" s="13">
        <v>384</v>
      </c>
      <c r="J63" s="13">
        <v>367</v>
      </c>
      <c r="K63" s="13">
        <v>360</v>
      </c>
      <c r="L63" s="11"/>
      <c r="M63" s="11"/>
      <c r="N63" s="11"/>
      <c r="O63" s="20"/>
      <c r="P63" s="20"/>
      <c r="S63" s="60">
        <v>18</v>
      </c>
      <c r="T63" s="61">
        <v>26</v>
      </c>
      <c r="U63" s="62">
        <v>30</v>
      </c>
      <c r="V63" s="61">
        <v>31</v>
      </c>
      <c r="W63" s="61">
        <v>38</v>
      </c>
      <c r="X63" s="63">
        <v>35</v>
      </c>
    </row>
    <row r="64" spans="1:24" ht="16" thickBot="1" x14ac:dyDescent="0.25">
      <c r="A64" s="6" t="s">
        <v>318</v>
      </c>
      <c r="B64" s="11"/>
      <c r="C64" s="11"/>
      <c r="D64" s="11"/>
      <c r="E64" s="11"/>
      <c r="F64" s="13">
        <v>36</v>
      </c>
      <c r="G64" s="13">
        <v>39</v>
      </c>
      <c r="H64" s="12">
        <v>50</v>
      </c>
      <c r="I64" s="13">
        <v>48</v>
      </c>
      <c r="J64" s="13">
        <v>51</v>
      </c>
      <c r="K64" s="13">
        <v>66</v>
      </c>
      <c r="L64" s="11"/>
      <c r="M64" s="11"/>
      <c r="N64" s="11"/>
      <c r="O64" s="20"/>
      <c r="P64" s="20"/>
      <c r="R64" t="s">
        <v>286</v>
      </c>
      <c r="S64" s="91">
        <f>SUM(S40:S63)</f>
        <v>2994</v>
      </c>
      <c r="T64" s="92">
        <f t="shared" ref="T64:X64" si="3">SUM(T40:T63)</f>
        <v>3110</v>
      </c>
      <c r="U64" s="92">
        <f t="shared" si="3"/>
        <v>3044</v>
      </c>
      <c r="V64" s="92">
        <f t="shared" si="3"/>
        <v>2941</v>
      </c>
      <c r="W64" s="92">
        <f t="shared" si="3"/>
        <v>2899</v>
      </c>
      <c r="X64" s="93">
        <f t="shared" si="3"/>
        <v>2786</v>
      </c>
    </row>
    <row r="65" spans="1:16" x14ac:dyDescent="0.2">
      <c r="A65" s="6"/>
      <c r="F65" s="14"/>
      <c r="G65" s="13"/>
      <c r="H65" s="12"/>
      <c r="I65" s="13"/>
      <c r="J65" s="13"/>
      <c r="K65" s="13"/>
      <c r="L65" s="11"/>
      <c r="M65" s="11"/>
      <c r="N65" s="11"/>
      <c r="O65" s="20"/>
      <c r="P65" s="20"/>
    </row>
    <row r="66" spans="1:16" x14ac:dyDescent="0.2">
      <c r="A66" s="6" t="s">
        <v>319</v>
      </c>
      <c r="B66" s="11"/>
      <c r="C66" s="11"/>
      <c r="D66" s="11"/>
      <c r="E66" s="11"/>
      <c r="F66" s="11"/>
      <c r="G66" s="13">
        <v>296</v>
      </c>
      <c r="H66" s="12">
        <v>295</v>
      </c>
      <c r="I66" s="13">
        <v>273</v>
      </c>
      <c r="J66" s="13">
        <v>263</v>
      </c>
      <c r="K66" s="13">
        <v>244</v>
      </c>
      <c r="L66" s="13">
        <v>236</v>
      </c>
      <c r="M66" s="11"/>
      <c r="N66" s="11"/>
      <c r="O66" s="20"/>
      <c r="P66" s="20"/>
    </row>
    <row r="67" spans="1:16" x14ac:dyDescent="0.2">
      <c r="A67" s="6" t="s">
        <v>320</v>
      </c>
      <c r="B67" s="11"/>
      <c r="C67" s="11"/>
      <c r="D67" s="11"/>
      <c r="E67" s="11"/>
      <c r="F67" s="11"/>
      <c r="G67" s="13">
        <v>86</v>
      </c>
      <c r="H67" s="13">
        <v>88</v>
      </c>
      <c r="I67" s="12">
        <v>96</v>
      </c>
      <c r="J67" s="13">
        <v>106</v>
      </c>
      <c r="K67" s="13">
        <v>71</v>
      </c>
      <c r="L67" s="13">
        <v>59</v>
      </c>
      <c r="M67" s="11"/>
      <c r="N67" s="11"/>
      <c r="O67" s="20"/>
      <c r="P67" s="20"/>
    </row>
    <row r="68" spans="1:16" x14ac:dyDescent="0.2">
      <c r="A68" s="6" t="s">
        <v>322</v>
      </c>
      <c r="B68" s="11"/>
      <c r="C68" s="11"/>
      <c r="D68" s="11"/>
      <c r="E68" s="11"/>
      <c r="F68" s="11"/>
      <c r="G68" s="13">
        <v>33</v>
      </c>
      <c r="H68" s="13">
        <v>34</v>
      </c>
      <c r="I68" s="12">
        <v>35</v>
      </c>
      <c r="J68" s="13">
        <v>38</v>
      </c>
      <c r="K68" s="13">
        <v>36</v>
      </c>
      <c r="L68" s="13">
        <v>40</v>
      </c>
      <c r="M68" s="11"/>
      <c r="N68" s="11"/>
      <c r="O68" s="20"/>
      <c r="P68" s="20"/>
    </row>
    <row r="69" spans="1:16" x14ac:dyDescent="0.2">
      <c r="A69" t="s">
        <v>323</v>
      </c>
      <c r="B69" s="11"/>
      <c r="C69" s="11"/>
      <c r="D69" s="11"/>
      <c r="E69" s="11"/>
      <c r="F69" s="11"/>
      <c r="G69" s="13">
        <v>64</v>
      </c>
      <c r="H69" s="13">
        <v>48</v>
      </c>
      <c r="I69" s="12">
        <v>33</v>
      </c>
      <c r="J69" s="13">
        <v>31</v>
      </c>
      <c r="K69" s="13">
        <v>42</v>
      </c>
      <c r="L69" s="13">
        <v>46</v>
      </c>
      <c r="M69" s="11"/>
      <c r="N69" s="11"/>
      <c r="O69" s="20"/>
      <c r="P69" s="20"/>
    </row>
    <row r="70" spans="1:16" x14ac:dyDescent="0.2">
      <c r="A70" s="6"/>
      <c r="B70" s="11"/>
      <c r="C70" s="11"/>
      <c r="D70" s="11"/>
      <c r="E70" s="11"/>
      <c r="F70" s="11"/>
      <c r="G70" s="13"/>
      <c r="H70" s="13"/>
      <c r="I70" s="12"/>
      <c r="J70" s="13"/>
      <c r="K70" s="13"/>
      <c r="L70" s="13"/>
      <c r="M70" s="11"/>
      <c r="N70" s="11"/>
      <c r="O70" s="19"/>
      <c r="P70" s="20"/>
    </row>
    <row r="71" spans="1:16" x14ac:dyDescent="0.2">
      <c r="A71" s="6" t="s">
        <v>324</v>
      </c>
      <c r="B71" s="11"/>
      <c r="C71" s="11"/>
      <c r="D71" s="11"/>
      <c r="E71" s="11"/>
      <c r="F71" s="11"/>
      <c r="G71" s="13">
        <v>271</v>
      </c>
      <c r="H71" s="13">
        <v>297</v>
      </c>
      <c r="I71" s="12">
        <v>311</v>
      </c>
      <c r="J71" s="13">
        <v>300</v>
      </c>
      <c r="K71" s="13">
        <v>291</v>
      </c>
      <c r="L71" s="13">
        <v>251</v>
      </c>
      <c r="M71" s="11"/>
      <c r="N71" s="11"/>
      <c r="O71" s="20"/>
      <c r="P71" s="20"/>
    </row>
    <row r="72" spans="1:16" x14ac:dyDescent="0.2">
      <c r="A72" s="6"/>
      <c r="B72" s="11"/>
      <c r="C72" s="11"/>
      <c r="D72" s="11"/>
      <c r="E72" s="11"/>
      <c r="F72" s="11"/>
      <c r="G72" s="13"/>
      <c r="H72" s="13"/>
      <c r="I72" s="12"/>
      <c r="J72" s="13"/>
      <c r="K72" s="13"/>
      <c r="L72" s="13"/>
      <c r="M72" s="11"/>
      <c r="N72" s="11"/>
      <c r="O72" s="19"/>
      <c r="P72" s="20"/>
    </row>
    <row r="73" spans="1:16" ht="16" thickBot="1" x14ac:dyDescent="0.25">
      <c r="A73" s="7" t="s">
        <v>325</v>
      </c>
      <c r="B73" s="11"/>
      <c r="C73" s="11"/>
      <c r="D73" s="11"/>
      <c r="E73" s="11"/>
      <c r="F73" s="11"/>
      <c r="G73" s="11"/>
      <c r="H73" s="13">
        <v>18</v>
      </c>
      <c r="I73" s="13">
        <v>26</v>
      </c>
      <c r="J73" s="12">
        <v>30</v>
      </c>
      <c r="K73" s="13">
        <v>31</v>
      </c>
      <c r="L73" s="13">
        <v>38</v>
      </c>
      <c r="M73" s="13">
        <v>35</v>
      </c>
      <c r="N73" s="11"/>
      <c r="O73" s="20"/>
      <c r="P73" s="20"/>
    </row>
  </sheetData>
  <dataValidations count="1">
    <dataValidation type="list" allowBlank="1" showInputMessage="1" showErrorMessage="1" sqref="O2:O35" xr:uid="{255AEA5E-08DF-D745-A135-4DC3C284ED73}">
      <formula1>"Yes,No,IDK"</formula1>
    </dataValidation>
  </dataValidations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836B6-F5EC-EC44-A39D-125E3A069F72}">
  <dimension ref="A1:AG73"/>
  <sheetViews>
    <sheetView topLeftCell="A20" zoomScale="109" workbookViewId="0">
      <selection activeCell="AA52" sqref="AA52"/>
    </sheetView>
  </sheetViews>
  <sheetFormatPr baseColWidth="10" defaultRowHeight="15" x14ac:dyDescent="0.2"/>
  <cols>
    <col min="1" max="1" width="22" customWidth="1"/>
    <col min="2" max="4" width="13.6640625" bestFit="1" customWidth="1"/>
    <col min="5" max="5" width="14.6640625" bestFit="1" customWidth="1"/>
    <col min="6" max="10" width="13.6640625" bestFit="1" customWidth="1"/>
    <col min="11" max="14" width="13.83203125" bestFit="1" customWidth="1"/>
    <col min="15" max="15" width="11" bestFit="1" customWidth="1"/>
    <col min="19" max="19" width="16.83203125" customWidth="1"/>
    <col min="20" max="28" width="12.1640625" bestFit="1" customWidth="1"/>
    <col min="29" max="29" width="13.1640625" bestFit="1" customWidth="1"/>
    <col min="30" max="30" width="12.1640625" bestFit="1" customWidth="1"/>
    <col min="31" max="32" width="14.6640625" bestFit="1" customWidth="1"/>
    <col min="33" max="33" width="15.83203125" customWidth="1"/>
  </cols>
  <sheetData>
    <row r="1" spans="1:24" ht="16" thickBot="1" x14ac:dyDescent="0.25">
      <c r="A1" t="s">
        <v>248</v>
      </c>
      <c r="B1" s="4">
        <v>2013</v>
      </c>
      <c r="C1" s="3">
        <f>B1+1</f>
        <v>2014</v>
      </c>
      <c r="D1" s="3">
        <f t="shared" ref="D1:N1" si="0">C1+1</f>
        <v>2015</v>
      </c>
      <c r="E1" s="3">
        <f t="shared" si="0"/>
        <v>2016</v>
      </c>
      <c r="F1" s="3">
        <f t="shared" si="0"/>
        <v>2017</v>
      </c>
      <c r="G1" s="3">
        <f t="shared" si="0"/>
        <v>2018</v>
      </c>
      <c r="H1" s="3">
        <f t="shared" si="0"/>
        <v>2019</v>
      </c>
      <c r="I1" s="3">
        <f t="shared" si="0"/>
        <v>2020</v>
      </c>
      <c r="J1" s="3">
        <f t="shared" si="0"/>
        <v>2021</v>
      </c>
      <c r="K1" s="3">
        <f t="shared" si="0"/>
        <v>2022</v>
      </c>
      <c r="L1" s="3">
        <f t="shared" si="0"/>
        <v>2023</v>
      </c>
      <c r="M1" s="3">
        <f t="shared" si="0"/>
        <v>2024</v>
      </c>
      <c r="N1" s="3">
        <f t="shared" si="0"/>
        <v>2025</v>
      </c>
      <c r="O1" s="24" t="s">
        <v>262</v>
      </c>
      <c r="P1" s="24" t="s">
        <v>224</v>
      </c>
    </row>
    <row r="2" spans="1:24" x14ac:dyDescent="0.2">
      <c r="A2" s="8" t="s">
        <v>123</v>
      </c>
      <c r="B2" s="11">
        <v>5832316</v>
      </c>
      <c r="C2" s="13">
        <v>5820104</v>
      </c>
      <c r="D2" s="13">
        <v>6952182</v>
      </c>
      <c r="E2" s="12">
        <v>7055932</v>
      </c>
      <c r="F2" s="13">
        <v>9215175</v>
      </c>
      <c r="G2" s="13">
        <v>9996824</v>
      </c>
      <c r="H2" s="13">
        <v>11083959</v>
      </c>
      <c r="I2" s="11">
        <v>10664294</v>
      </c>
      <c r="J2" s="11">
        <v>15503276</v>
      </c>
      <c r="K2" s="11">
        <v>16995344</v>
      </c>
      <c r="L2" s="11">
        <v>11343302</v>
      </c>
      <c r="M2" s="11">
        <v>9912444</v>
      </c>
      <c r="N2" s="11">
        <v>9925685</v>
      </c>
      <c r="O2" s="46" t="s">
        <v>263</v>
      </c>
      <c r="P2" s="23"/>
    </row>
    <row r="3" spans="1:24" x14ac:dyDescent="0.2">
      <c r="A3" s="9" t="s">
        <v>129</v>
      </c>
      <c r="B3" s="11">
        <v>1129652</v>
      </c>
      <c r="C3" s="13">
        <v>2142589</v>
      </c>
      <c r="D3" s="13">
        <v>3093690</v>
      </c>
      <c r="E3" s="12">
        <v>2945640</v>
      </c>
      <c r="F3" s="13">
        <v>3892376</v>
      </c>
      <c r="G3" s="13">
        <v>5409473</v>
      </c>
      <c r="H3" s="13">
        <v>5519360</v>
      </c>
      <c r="I3" s="11">
        <v>6756811</v>
      </c>
      <c r="J3" s="11">
        <v>8501770</v>
      </c>
      <c r="K3" s="11">
        <v>13744869</v>
      </c>
      <c r="L3" s="11">
        <v>11805053</v>
      </c>
      <c r="M3" s="11">
        <v>9730508</v>
      </c>
      <c r="N3" s="11" t="s">
        <v>222</v>
      </c>
      <c r="O3" s="44" t="s">
        <v>263</v>
      </c>
      <c r="P3" s="20"/>
    </row>
    <row r="4" spans="1:24" x14ac:dyDescent="0.2">
      <c r="A4" s="9" t="s">
        <v>144</v>
      </c>
      <c r="B4" s="11">
        <v>17308552</v>
      </c>
      <c r="C4" s="13">
        <v>24386907</v>
      </c>
      <c r="D4" s="13">
        <v>21605800</v>
      </c>
      <c r="E4" s="12">
        <v>20121407</v>
      </c>
      <c r="F4" s="13">
        <v>21229083</v>
      </c>
      <c r="G4" s="13">
        <v>21939952</v>
      </c>
      <c r="H4" s="13">
        <v>23243013</v>
      </c>
      <c r="I4" s="11">
        <v>15602202</v>
      </c>
      <c r="J4" s="11">
        <v>15281705</v>
      </c>
      <c r="K4" s="11">
        <v>19754888</v>
      </c>
      <c r="L4" s="11">
        <v>15082338</v>
      </c>
      <c r="M4" s="11">
        <v>17462498</v>
      </c>
      <c r="N4" s="11">
        <v>18221868</v>
      </c>
      <c r="O4" s="45" t="s">
        <v>263</v>
      </c>
      <c r="P4" s="20"/>
    </row>
    <row r="5" spans="1:24" x14ac:dyDescent="0.2">
      <c r="A5" s="9" t="s">
        <v>133</v>
      </c>
      <c r="B5" s="11">
        <v>34659059</v>
      </c>
      <c r="C5" s="13">
        <v>53194916</v>
      </c>
      <c r="D5" s="13">
        <v>46910324</v>
      </c>
      <c r="E5" s="12">
        <v>46129720</v>
      </c>
      <c r="F5" s="13">
        <v>53186134</v>
      </c>
      <c r="G5" s="13">
        <v>55097643</v>
      </c>
      <c r="H5" s="13">
        <v>57894764</v>
      </c>
      <c r="I5" s="11">
        <v>66371774</v>
      </c>
      <c r="J5" s="11">
        <v>65790286</v>
      </c>
      <c r="K5" s="11">
        <v>76561185</v>
      </c>
      <c r="L5" s="11">
        <v>88904649</v>
      </c>
      <c r="M5" s="11">
        <v>94881767</v>
      </c>
      <c r="N5" s="11" t="s">
        <v>222</v>
      </c>
      <c r="O5" s="44" t="s">
        <v>263</v>
      </c>
      <c r="P5" s="20"/>
    </row>
    <row r="6" spans="1:24" x14ac:dyDescent="0.2">
      <c r="A6" s="9" t="s">
        <v>139</v>
      </c>
      <c r="B6" s="11" t="s">
        <v>222</v>
      </c>
      <c r="C6" s="13">
        <v>0</v>
      </c>
      <c r="D6" s="13">
        <v>9037</v>
      </c>
      <c r="E6" s="12">
        <v>145617</v>
      </c>
      <c r="F6" s="13">
        <v>206622</v>
      </c>
      <c r="G6" s="13">
        <v>243656</v>
      </c>
      <c r="H6" s="13">
        <v>370145</v>
      </c>
      <c r="I6" s="11">
        <v>481693</v>
      </c>
      <c r="J6" s="11">
        <v>552571</v>
      </c>
      <c r="K6" s="11">
        <v>742267</v>
      </c>
      <c r="L6" s="11">
        <v>746750</v>
      </c>
      <c r="M6" s="11">
        <v>952020</v>
      </c>
      <c r="N6" s="11">
        <v>946205</v>
      </c>
      <c r="O6" s="22" t="s">
        <v>264</v>
      </c>
      <c r="P6" s="20" t="s">
        <v>271</v>
      </c>
    </row>
    <row r="7" spans="1:24" ht="16" thickBot="1" x14ac:dyDescent="0.25">
      <c r="A7" s="9" t="s">
        <v>205</v>
      </c>
      <c r="B7" s="11" t="s">
        <v>222</v>
      </c>
      <c r="C7" s="13" t="s">
        <v>222</v>
      </c>
      <c r="D7" s="13" t="s">
        <v>222</v>
      </c>
      <c r="E7" s="12">
        <v>0</v>
      </c>
      <c r="F7" s="13">
        <v>0</v>
      </c>
      <c r="G7" s="15">
        <v>228115</v>
      </c>
      <c r="H7" s="13">
        <v>31312</v>
      </c>
      <c r="I7" s="11">
        <v>10000</v>
      </c>
      <c r="J7" s="11">
        <v>0</v>
      </c>
      <c r="K7" s="11">
        <v>114369</v>
      </c>
      <c r="L7" s="11">
        <v>250422</v>
      </c>
      <c r="M7" s="11">
        <v>243041</v>
      </c>
      <c r="N7" s="11">
        <v>243041</v>
      </c>
      <c r="O7" s="43" t="s">
        <v>264</v>
      </c>
      <c r="P7" s="20"/>
      <c r="S7" s="24" t="s">
        <v>333</v>
      </c>
      <c r="T7" s="24" t="s">
        <v>332</v>
      </c>
      <c r="U7" s="24" t="s">
        <v>331</v>
      </c>
      <c r="V7" s="24" t="s">
        <v>334</v>
      </c>
      <c r="W7" s="24" t="s">
        <v>335</v>
      </c>
      <c r="X7" s="24" t="s">
        <v>336</v>
      </c>
    </row>
    <row r="8" spans="1:24" x14ac:dyDescent="0.2">
      <c r="A8" s="9" t="s">
        <v>159</v>
      </c>
      <c r="B8" s="11" t="s">
        <v>222</v>
      </c>
      <c r="C8" s="13" t="s">
        <v>222</v>
      </c>
      <c r="D8" s="13">
        <v>0</v>
      </c>
      <c r="E8" s="12">
        <v>0</v>
      </c>
      <c r="F8" s="13">
        <v>171307</v>
      </c>
      <c r="G8" s="13">
        <v>325213</v>
      </c>
      <c r="H8" s="13">
        <v>127025</v>
      </c>
      <c r="I8" s="11">
        <v>0</v>
      </c>
      <c r="J8" s="11">
        <v>24439</v>
      </c>
      <c r="K8" s="11">
        <v>107901</v>
      </c>
      <c r="L8" s="11">
        <v>74708</v>
      </c>
      <c r="M8" s="11">
        <v>0</v>
      </c>
      <c r="N8" s="11" t="s">
        <v>222</v>
      </c>
      <c r="O8" s="43" t="s">
        <v>264</v>
      </c>
      <c r="P8" s="20"/>
      <c r="S8" s="13">
        <v>5820104</v>
      </c>
      <c r="T8" s="13">
        <v>6952182</v>
      </c>
      <c r="U8" s="12">
        <v>7055932</v>
      </c>
      <c r="V8" s="13">
        <v>9215175</v>
      </c>
      <c r="W8" s="13">
        <v>9996824</v>
      </c>
      <c r="X8" s="13">
        <v>11083959</v>
      </c>
    </row>
    <row r="9" spans="1:24" x14ac:dyDescent="0.2">
      <c r="A9" s="9" t="s">
        <v>164</v>
      </c>
      <c r="B9" s="11">
        <v>0</v>
      </c>
      <c r="C9" s="13">
        <v>5573</v>
      </c>
      <c r="D9" s="13">
        <v>11994</v>
      </c>
      <c r="E9" s="12">
        <v>24195</v>
      </c>
      <c r="F9" s="13">
        <v>26928</v>
      </c>
      <c r="G9" s="13">
        <v>20795</v>
      </c>
      <c r="H9" s="13">
        <v>33540</v>
      </c>
      <c r="I9" s="11">
        <v>47925</v>
      </c>
      <c r="J9" s="11">
        <v>138102</v>
      </c>
      <c r="K9" s="11">
        <v>197464</v>
      </c>
      <c r="L9" s="11">
        <v>199946</v>
      </c>
      <c r="M9" s="11">
        <v>146105</v>
      </c>
      <c r="N9" s="11">
        <v>282741</v>
      </c>
      <c r="O9" s="44" t="s">
        <v>263</v>
      </c>
      <c r="P9" s="20"/>
      <c r="S9" s="13">
        <v>2142589</v>
      </c>
      <c r="T9" s="13">
        <v>3093690</v>
      </c>
      <c r="U9" s="12">
        <v>2945640</v>
      </c>
      <c r="V9" s="13">
        <v>3892376</v>
      </c>
      <c r="W9" s="13">
        <v>5409473</v>
      </c>
      <c r="X9" s="13">
        <v>5519360</v>
      </c>
    </row>
    <row r="10" spans="1:24" x14ac:dyDescent="0.2">
      <c r="A10" s="9" t="s">
        <v>182</v>
      </c>
      <c r="B10" s="11">
        <v>1272814</v>
      </c>
      <c r="C10" s="13">
        <v>1843543</v>
      </c>
      <c r="D10" s="13">
        <v>1626775</v>
      </c>
      <c r="E10" s="12">
        <v>743918</v>
      </c>
      <c r="F10" s="13">
        <v>829543</v>
      </c>
      <c r="G10" s="13">
        <v>1053967</v>
      </c>
      <c r="H10" s="13">
        <v>1641168</v>
      </c>
      <c r="I10" s="11">
        <v>1694616</v>
      </c>
      <c r="J10" s="11">
        <v>1879027</v>
      </c>
      <c r="K10" s="11">
        <v>1953241</v>
      </c>
      <c r="L10" s="11">
        <v>2289351</v>
      </c>
      <c r="M10" s="11">
        <v>2523326</v>
      </c>
      <c r="N10" s="11" t="s">
        <v>222</v>
      </c>
      <c r="O10" s="44" t="s">
        <v>263</v>
      </c>
      <c r="P10" s="20"/>
      <c r="S10" s="13">
        <v>24386907</v>
      </c>
      <c r="T10" s="13">
        <v>21605800</v>
      </c>
      <c r="U10" s="12">
        <v>20121407</v>
      </c>
      <c r="V10" s="13">
        <v>21229083</v>
      </c>
      <c r="W10" s="13">
        <v>21939952</v>
      </c>
      <c r="X10" s="13">
        <v>23243013</v>
      </c>
    </row>
    <row r="11" spans="1:24" x14ac:dyDescent="0.2">
      <c r="A11" s="9" t="s">
        <v>209</v>
      </c>
      <c r="B11" s="11">
        <v>748487</v>
      </c>
      <c r="C11" s="13">
        <v>1052571</v>
      </c>
      <c r="D11" s="13">
        <v>1821154</v>
      </c>
      <c r="E11" s="12">
        <v>1092818</v>
      </c>
      <c r="F11" s="13">
        <v>798995</v>
      </c>
      <c r="G11" s="13">
        <v>226251</v>
      </c>
      <c r="H11" s="13" t="s">
        <v>222</v>
      </c>
      <c r="I11" s="11" t="s">
        <v>222</v>
      </c>
      <c r="J11" s="11" t="s">
        <v>222</v>
      </c>
      <c r="K11" s="11" t="s">
        <v>222</v>
      </c>
      <c r="L11" s="11" t="s">
        <v>222</v>
      </c>
      <c r="M11" s="11" t="s">
        <v>222</v>
      </c>
      <c r="N11" s="11" t="s">
        <v>222</v>
      </c>
      <c r="O11" s="22" t="s">
        <v>264</v>
      </c>
      <c r="P11" s="20" t="s">
        <v>266</v>
      </c>
      <c r="S11" s="13">
        <v>53194916</v>
      </c>
      <c r="T11" s="13">
        <v>46910324</v>
      </c>
      <c r="U11" s="12">
        <v>46129720</v>
      </c>
      <c r="V11" s="13">
        <v>53186134</v>
      </c>
      <c r="W11" s="13">
        <v>55097643</v>
      </c>
      <c r="X11" s="13">
        <v>57894764</v>
      </c>
    </row>
    <row r="12" spans="1:24" x14ac:dyDescent="0.2">
      <c r="A12" s="9" t="s">
        <v>170</v>
      </c>
      <c r="B12" s="11">
        <v>619128</v>
      </c>
      <c r="C12" s="11">
        <v>5725894</v>
      </c>
      <c r="D12" s="13">
        <v>5763079</v>
      </c>
      <c r="E12" s="13">
        <v>9445222</v>
      </c>
      <c r="F12" s="12">
        <v>18695782</v>
      </c>
      <c r="G12" s="13">
        <v>25966495</v>
      </c>
      <c r="H12" s="13">
        <v>26273886</v>
      </c>
      <c r="I12" s="13">
        <v>28381032</v>
      </c>
      <c r="J12" s="11">
        <v>21658350</v>
      </c>
      <c r="K12" s="11">
        <v>19637448</v>
      </c>
      <c r="L12" s="11">
        <v>16159823</v>
      </c>
      <c r="M12" s="11">
        <v>12086459</v>
      </c>
      <c r="N12" s="11">
        <v>15689933</v>
      </c>
      <c r="O12" s="44" t="s">
        <v>263</v>
      </c>
      <c r="P12" s="20"/>
      <c r="S12" s="13">
        <v>5573</v>
      </c>
      <c r="T12" s="13">
        <v>11994</v>
      </c>
      <c r="U12" s="12">
        <v>24195</v>
      </c>
      <c r="V12" s="13">
        <v>26928</v>
      </c>
      <c r="W12" s="13">
        <v>20795</v>
      </c>
      <c r="X12" s="13">
        <v>33540</v>
      </c>
    </row>
    <row r="13" spans="1:24" x14ac:dyDescent="0.2">
      <c r="A13" s="9" t="s">
        <v>175</v>
      </c>
      <c r="B13" s="11">
        <v>10639668</v>
      </c>
      <c r="C13" s="11">
        <v>11695598</v>
      </c>
      <c r="D13" s="13">
        <v>11053920</v>
      </c>
      <c r="E13" s="13">
        <v>10654491</v>
      </c>
      <c r="F13" s="12">
        <v>12435811</v>
      </c>
      <c r="G13" s="13">
        <v>13893616</v>
      </c>
      <c r="H13" s="13">
        <v>13518423</v>
      </c>
      <c r="I13" s="13">
        <v>12803242</v>
      </c>
      <c r="J13" s="11">
        <v>14738615</v>
      </c>
      <c r="K13" s="11">
        <v>18924058</v>
      </c>
      <c r="L13" s="11">
        <v>15619301</v>
      </c>
      <c r="M13" s="11">
        <v>11413608</v>
      </c>
      <c r="N13" s="11" t="s">
        <v>222</v>
      </c>
      <c r="O13" s="44" t="s">
        <v>263</v>
      </c>
      <c r="P13" s="20"/>
      <c r="S13" s="13">
        <v>1843543</v>
      </c>
      <c r="T13" s="13">
        <v>1626775</v>
      </c>
      <c r="U13" s="12">
        <v>743918</v>
      </c>
      <c r="V13" s="13">
        <v>829543</v>
      </c>
      <c r="W13" s="13">
        <v>1053967</v>
      </c>
      <c r="X13" s="13">
        <v>1641168</v>
      </c>
    </row>
    <row r="14" spans="1:24" x14ac:dyDescent="0.2">
      <c r="A14" s="9" t="s">
        <v>186</v>
      </c>
      <c r="B14" s="11">
        <v>6166301</v>
      </c>
      <c r="C14" s="11">
        <v>7372334</v>
      </c>
      <c r="D14" s="13">
        <v>5604600</v>
      </c>
      <c r="E14" s="13">
        <v>5107709</v>
      </c>
      <c r="F14" s="12">
        <v>6042284</v>
      </c>
      <c r="G14" s="13">
        <v>6698241</v>
      </c>
      <c r="H14" s="13">
        <v>5487576</v>
      </c>
      <c r="I14" s="13">
        <v>6289412</v>
      </c>
      <c r="J14" s="11">
        <v>7055719</v>
      </c>
      <c r="K14" s="11">
        <v>9545132</v>
      </c>
      <c r="L14" s="11">
        <v>6933267</v>
      </c>
      <c r="M14" s="11">
        <v>7761623</v>
      </c>
      <c r="N14" s="11">
        <v>5798254</v>
      </c>
      <c r="O14" s="44" t="s">
        <v>263</v>
      </c>
      <c r="P14" s="20"/>
      <c r="S14" s="13">
        <v>5763079</v>
      </c>
      <c r="T14" s="13">
        <v>9445222</v>
      </c>
      <c r="U14" s="12">
        <v>18695782</v>
      </c>
      <c r="V14" s="13">
        <v>25966495</v>
      </c>
      <c r="W14" s="13">
        <v>26273886</v>
      </c>
      <c r="X14" s="13">
        <v>28381032</v>
      </c>
    </row>
    <row r="15" spans="1:24" x14ac:dyDescent="0.2">
      <c r="A15" s="9" t="s">
        <v>195</v>
      </c>
      <c r="B15" s="11">
        <v>27201561</v>
      </c>
      <c r="C15" s="11">
        <v>28035477</v>
      </c>
      <c r="D15" s="13">
        <v>28124373</v>
      </c>
      <c r="E15" s="13">
        <v>31388492</v>
      </c>
      <c r="F15" s="12">
        <v>39978056</v>
      </c>
      <c r="G15" s="13">
        <v>49109610</v>
      </c>
      <c r="H15" s="13">
        <v>41317816</v>
      </c>
      <c r="I15" s="13">
        <v>44435198</v>
      </c>
      <c r="J15" s="11">
        <v>87752342</v>
      </c>
      <c r="K15" s="11">
        <v>124736999</v>
      </c>
      <c r="L15" s="11">
        <v>92892077</v>
      </c>
      <c r="M15" s="11">
        <v>85969169</v>
      </c>
      <c r="N15" s="11" t="s">
        <v>222</v>
      </c>
      <c r="O15" s="44" t="s">
        <v>263</v>
      </c>
      <c r="P15" s="20"/>
      <c r="S15" s="13">
        <v>11053920</v>
      </c>
      <c r="T15" s="13">
        <v>10654491</v>
      </c>
      <c r="U15" s="12">
        <v>12435811</v>
      </c>
      <c r="V15" s="13">
        <v>13893616</v>
      </c>
      <c r="W15" s="13">
        <v>13518423</v>
      </c>
      <c r="X15" s="13">
        <v>12803242</v>
      </c>
    </row>
    <row r="16" spans="1:24" x14ac:dyDescent="0.2">
      <c r="A16" s="9" t="s">
        <v>151</v>
      </c>
      <c r="B16" s="11">
        <v>2239475</v>
      </c>
      <c r="C16" s="11">
        <v>10160767</v>
      </c>
      <c r="D16" s="13">
        <v>15411195</v>
      </c>
      <c r="E16" s="13">
        <v>14833532</v>
      </c>
      <c r="F16" s="12" t="s">
        <v>222</v>
      </c>
      <c r="G16" s="13" t="s">
        <v>222</v>
      </c>
      <c r="H16" s="13" t="s">
        <v>222</v>
      </c>
      <c r="I16" s="13" t="s">
        <v>222</v>
      </c>
      <c r="J16" s="11" t="s">
        <v>222</v>
      </c>
      <c r="K16" s="11" t="s">
        <v>222</v>
      </c>
      <c r="L16" s="11" t="s">
        <v>222</v>
      </c>
      <c r="M16" s="11" t="s">
        <v>222</v>
      </c>
      <c r="N16" s="11" t="s">
        <v>222</v>
      </c>
      <c r="O16" s="22" t="s">
        <v>264</v>
      </c>
      <c r="P16" s="20" t="s">
        <v>266</v>
      </c>
      <c r="S16" s="13">
        <v>5604600</v>
      </c>
      <c r="T16" s="13">
        <v>5107709</v>
      </c>
      <c r="U16" s="12">
        <v>6042284</v>
      </c>
      <c r="V16" s="13">
        <v>6698241</v>
      </c>
      <c r="W16" s="13">
        <v>5487576</v>
      </c>
      <c r="X16" s="13">
        <v>6289412</v>
      </c>
    </row>
    <row r="17" spans="1:24" x14ac:dyDescent="0.2">
      <c r="A17" s="9" t="s">
        <v>190</v>
      </c>
      <c r="B17" s="11" t="s">
        <v>222</v>
      </c>
      <c r="C17" s="11" t="s">
        <v>222</v>
      </c>
      <c r="D17" s="13" t="s">
        <v>222</v>
      </c>
      <c r="E17" s="13" t="s">
        <v>222</v>
      </c>
      <c r="F17" s="12" t="s">
        <v>222</v>
      </c>
      <c r="G17" s="13" t="s">
        <v>222</v>
      </c>
      <c r="H17" s="13" t="s">
        <v>222</v>
      </c>
      <c r="I17" s="13" t="s">
        <v>222</v>
      </c>
      <c r="J17" s="11">
        <v>74629</v>
      </c>
      <c r="K17" s="11">
        <v>180634</v>
      </c>
      <c r="L17" s="11">
        <v>4101929</v>
      </c>
      <c r="M17" s="11">
        <v>9777770</v>
      </c>
      <c r="N17" s="11" t="s">
        <v>222</v>
      </c>
      <c r="O17" s="22" t="s">
        <v>264</v>
      </c>
      <c r="P17" s="20"/>
      <c r="S17" s="13">
        <v>28124373</v>
      </c>
      <c r="T17" s="13">
        <v>31388492</v>
      </c>
      <c r="U17" s="12">
        <v>39978056</v>
      </c>
      <c r="V17" s="13">
        <v>49109610</v>
      </c>
      <c r="W17" s="13">
        <v>41317816</v>
      </c>
      <c r="X17" s="13">
        <v>44435198</v>
      </c>
    </row>
    <row r="18" spans="1:24" x14ac:dyDescent="0.2">
      <c r="A18" s="9" t="s">
        <v>200</v>
      </c>
      <c r="B18" s="11">
        <v>0</v>
      </c>
      <c r="C18" s="11">
        <v>0</v>
      </c>
      <c r="D18" s="13">
        <v>0</v>
      </c>
      <c r="E18" s="13">
        <v>0</v>
      </c>
      <c r="F18" s="12">
        <v>0</v>
      </c>
      <c r="G18" s="13">
        <v>0</v>
      </c>
      <c r="H18" s="13">
        <v>0</v>
      </c>
      <c r="I18" s="13">
        <v>0</v>
      </c>
      <c r="J18" s="11">
        <v>0</v>
      </c>
      <c r="K18" s="11">
        <v>0</v>
      </c>
      <c r="L18" s="11">
        <v>0</v>
      </c>
      <c r="M18" s="11">
        <v>9040</v>
      </c>
      <c r="N18" s="11">
        <v>30117</v>
      </c>
      <c r="O18" s="22" t="s">
        <v>264</v>
      </c>
      <c r="P18" s="20" t="s">
        <v>272</v>
      </c>
      <c r="S18" s="13">
        <v>12483863</v>
      </c>
      <c r="T18" s="13">
        <v>14667191</v>
      </c>
      <c r="U18" s="12">
        <v>19698882</v>
      </c>
      <c r="V18" s="13">
        <v>19101679</v>
      </c>
      <c r="W18" s="13">
        <v>18073713</v>
      </c>
      <c r="X18" s="13">
        <v>21877095</v>
      </c>
    </row>
    <row r="19" spans="1:24" x14ac:dyDescent="0.2">
      <c r="A19" s="9" t="s">
        <v>75</v>
      </c>
      <c r="B19" s="11">
        <v>11332031</v>
      </c>
      <c r="C19" s="11">
        <v>14805701</v>
      </c>
      <c r="D19" s="11">
        <v>14239816</v>
      </c>
      <c r="E19" s="11">
        <v>5790706</v>
      </c>
      <c r="F19" s="13">
        <v>12483863</v>
      </c>
      <c r="G19" s="13">
        <v>14667191</v>
      </c>
      <c r="H19" s="12">
        <v>19698882</v>
      </c>
      <c r="I19" s="13">
        <v>19101679</v>
      </c>
      <c r="J19" s="13">
        <v>18073713</v>
      </c>
      <c r="K19" s="13">
        <v>21877095</v>
      </c>
      <c r="L19" s="11">
        <v>24232828</v>
      </c>
      <c r="M19" s="11">
        <v>17071487</v>
      </c>
      <c r="N19" s="11" t="s">
        <v>222</v>
      </c>
      <c r="O19" s="44" t="s">
        <v>263</v>
      </c>
      <c r="P19" s="20"/>
      <c r="S19" s="13">
        <v>4605931</v>
      </c>
      <c r="T19" s="13">
        <v>5372787</v>
      </c>
      <c r="U19" s="12">
        <v>5683824</v>
      </c>
      <c r="V19" s="13">
        <v>5517672</v>
      </c>
      <c r="W19" s="13">
        <v>5816047</v>
      </c>
      <c r="X19" s="13">
        <v>7016988</v>
      </c>
    </row>
    <row r="20" spans="1:24" x14ac:dyDescent="0.2">
      <c r="A20" s="9" t="s">
        <v>81</v>
      </c>
      <c r="B20" s="11" t="s">
        <v>222</v>
      </c>
      <c r="C20" s="11" t="s">
        <v>222</v>
      </c>
      <c r="D20" s="11" t="s">
        <v>222</v>
      </c>
      <c r="E20" s="11" t="s">
        <v>222</v>
      </c>
      <c r="F20" s="13">
        <v>27907</v>
      </c>
      <c r="G20" s="13">
        <v>48332</v>
      </c>
      <c r="H20" s="12">
        <v>220236</v>
      </c>
      <c r="I20" s="13">
        <v>7420678</v>
      </c>
      <c r="J20" s="13">
        <v>12397598</v>
      </c>
      <c r="K20" s="13">
        <v>24001131</v>
      </c>
      <c r="L20" s="11">
        <v>26626401</v>
      </c>
      <c r="M20" s="11">
        <v>21647336</v>
      </c>
      <c r="N20" s="11" t="s">
        <v>222</v>
      </c>
      <c r="O20" s="43" t="s">
        <v>264</v>
      </c>
      <c r="P20" s="20"/>
      <c r="S20" s="13">
        <v>2228728</v>
      </c>
      <c r="T20" s="13">
        <v>2521113</v>
      </c>
      <c r="U20" s="12">
        <v>2681245</v>
      </c>
      <c r="V20" s="13">
        <v>2655026</v>
      </c>
      <c r="W20" s="13">
        <v>2631479</v>
      </c>
      <c r="X20" s="13">
        <v>2702046</v>
      </c>
    </row>
    <row r="21" spans="1:24" x14ac:dyDescent="0.2">
      <c r="A21" s="9" t="s">
        <v>85</v>
      </c>
      <c r="B21" s="11">
        <v>1751693</v>
      </c>
      <c r="C21" s="11">
        <v>3387547</v>
      </c>
      <c r="D21" s="11">
        <v>3840233</v>
      </c>
      <c r="E21" s="11">
        <v>4226454</v>
      </c>
      <c r="F21" s="13">
        <v>4605931</v>
      </c>
      <c r="G21" s="13">
        <v>5372787</v>
      </c>
      <c r="H21" s="12">
        <v>5683824</v>
      </c>
      <c r="I21" s="13">
        <v>5517672</v>
      </c>
      <c r="J21" s="13">
        <v>5816047</v>
      </c>
      <c r="K21" s="13">
        <v>7016988</v>
      </c>
      <c r="L21" s="11">
        <v>9435322</v>
      </c>
      <c r="M21" s="11">
        <v>10018435</v>
      </c>
      <c r="N21" s="11">
        <v>10538765</v>
      </c>
      <c r="O21" s="44" t="s">
        <v>263</v>
      </c>
      <c r="P21" s="20"/>
      <c r="S21" s="13">
        <v>1282637</v>
      </c>
      <c r="T21" s="13">
        <v>4272962</v>
      </c>
      <c r="U21" s="12">
        <v>6565998</v>
      </c>
      <c r="V21" s="13">
        <v>7537714</v>
      </c>
      <c r="W21" s="13">
        <v>10178101</v>
      </c>
      <c r="X21" s="13">
        <v>12945298</v>
      </c>
    </row>
    <row r="22" spans="1:24" x14ac:dyDescent="0.2">
      <c r="A22" s="9" t="s">
        <v>100</v>
      </c>
      <c r="B22" s="11">
        <v>1529904</v>
      </c>
      <c r="C22" s="11">
        <v>1718895</v>
      </c>
      <c r="D22" s="11">
        <v>1887778</v>
      </c>
      <c r="E22" s="11">
        <v>2108053</v>
      </c>
      <c r="F22" s="13">
        <v>2228728</v>
      </c>
      <c r="G22" s="13">
        <v>2521113</v>
      </c>
      <c r="H22" s="12">
        <v>2681245</v>
      </c>
      <c r="I22" s="13">
        <v>2655026</v>
      </c>
      <c r="J22" s="13">
        <v>2631479</v>
      </c>
      <c r="K22" s="13">
        <v>2702046</v>
      </c>
      <c r="L22" s="11">
        <v>3238097</v>
      </c>
      <c r="M22" s="11">
        <v>3293954</v>
      </c>
      <c r="N22" s="11" t="s">
        <v>222</v>
      </c>
      <c r="O22" s="44" t="s">
        <v>263</v>
      </c>
      <c r="P22" s="20"/>
      <c r="S22" s="13">
        <v>14802416</v>
      </c>
      <c r="T22" s="13">
        <v>19344872</v>
      </c>
      <c r="U22" s="12">
        <v>22003118</v>
      </c>
      <c r="V22" s="13">
        <v>17393548</v>
      </c>
      <c r="W22" s="13">
        <v>44136749</v>
      </c>
      <c r="X22" s="13">
        <v>60877228</v>
      </c>
    </row>
    <row r="23" spans="1:24" x14ac:dyDescent="0.2">
      <c r="A23" s="9" t="s">
        <v>95</v>
      </c>
      <c r="B23" s="11">
        <v>0</v>
      </c>
      <c r="C23" s="11">
        <v>0</v>
      </c>
      <c r="D23" s="11">
        <v>0</v>
      </c>
      <c r="E23" s="11">
        <v>422347</v>
      </c>
      <c r="F23" s="13">
        <v>1282637</v>
      </c>
      <c r="G23" s="13">
        <v>4272962</v>
      </c>
      <c r="H23" s="12">
        <v>6565998</v>
      </c>
      <c r="I23" s="13">
        <v>7537714</v>
      </c>
      <c r="J23" s="13">
        <v>10178101</v>
      </c>
      <c r="K23" s="13">
        <v>12945298</v>
      </c>
      <c r="L23" s="11">
        <v>14655944</v>
      </c>
      <c r="M23" s="11">
        <v>16449406</v>
      </c>
      <c r="N23" s="11" t="s">
        <v>222</v>
      </c>
      <c r="O23" s="44" t="s">
        <v>263</v>
      </c>
      <c r="P23" s="20"/>
      <c r="S23" s="13">
        <v>3484504</v>
      </c>
      <c r="T23" s="13">
        <v>4206259</v>
      </c>
      <c r="U23" s="12">
        <v>4670600</v>
      </c>
      <c r="V23" s="13">
        <v>3638136</v>
      </c>
      <c r="W23" s="13">
        <v>4557049</v>
      </c>
      <c r="X23" s="13">
        <v>6776697</v>
      </c>
    </row>
    <row r="24" spans="1:24" x14ac:dyDescent="0.2">
      <c r="A24" s="9" t="s">
        <v>104</v>
      </c>
      <c r="B24" s="11">
        <v>10689176</v>
      </c>
      <c r="C24" s="11">
        <v>11691990</v>
      </c>
      <c r="D24" s="11">
        <v>12760446</v>
      </c>
      <c r="E24" s="11">
        <v>12979124</v>
      </c>
      <c r="F24" s="13">
        <v>14802416</v>
      </c>
      <c r="G24" s="13">
        <v>19344872</v>
      </c>
      <c r="H24" s="12">
        <v>22003118</v>
      </c>
      <c r="I24" s="13">
        <v>17393548</v>
      </c>
      <c r="J24" s="13">
        <v>44136749</v>
      </c>
      <c r="K24" s="13">
        <v>60877228</v>
      </c>
      <c r="L24" s="11">
        <v>17603250</v>
      </c>
      <c r="M24" s="11">
        <v>21696229</v>
      </c>
      <c r="N24" s="11">
        <v>24291524</v>
      </c>
      <c r="O24" s="44" t="s">
        <v>263</v>
      </c>
      <c r="P24" s="20"/>
      <c r="S24" s="13">
        <v>6047473</v>
      </c>
      <c r="T24" s="13">
        <v>5621652</v>
      </c>
      <c r="U24" s="12">
        <v>5537013</v>
      </c>
      <c r="V24" s="13">
        <v>5285319</v>
      </c>
      <c r="W24" s="13">
        <v>6943767</v>
      </c>
      <c r="X24" s="13">
        <v>10851636</v>
      </c>
    </row>
    <row r="25" spans="1:24" x14ac:dyDescent="0.2">
      <c r="A25" s="9" t="s">
        <v>110</v>
      </c>
      <c r="B25" s="11">
        <v>700882</v>
      </c>
      <c r="C25" s="11">
        <v>869449</v>
      </c>
      <c r="D25" s="11">
        <v>1396566</v>
      </c>
      <c r="E25" s="11">
        <v>2366918</v>
      </c>
      <c r="F25" s="13">
        <v>3484504</v>
      </c>
      <c r="G25" s="13">
        <v>4206259</v>
      </c>
      <c r="H25" s="12">
        <v>4670600</v>
      </c>
      <c r="I25" s="13">
        <v>3638136</v>
      </c>
      <c r="J25" s="13">
        <v>4557049</v>
      </c>
      <c r="K25" s="13">
        <v>6776697</v>
      </c>
      <c r="L25" s="11">
        <v>7428951</v>
      </c>
      <c r="M25" s="11">
        <v>8217987</v>
      </c>
      <c r="N25" s="11">
        <v>8632772</v>
      </c>
      <c r="O25" s="44" t="s">
        <v>263</v>
      </c>
      <c r="P25" s="20"/>
      <c r="S25" s="13">
        <v>24177895</v>
      </c>
      <c r="T25" s="13">
        <v>20553989</v>
      </c>
      <c r="U25" s="12">
        <v>23918559</v>
      </c>
      <c r="V25" s="13">
        <v>43052077</v>
      </c>
      <c r="W25" s="13">
        <v>69161043</v>
      </c>
      <c r="X25" s="13">
        <v>76554323</v>
      </c>
    </row>
    <row r="26" spans="1:24" x14ac:dyDescent="0.2">
      <c r="A26" s="9" t="s">
        <v>119</v>
      </c>
      <c r="B26" s="11">
        <v>1520335</v>
      </c>
      <c r="C26" s="11">
        <v>1992739</v>
      </c>
      <c r="D26" s="11">
        <v>3065305</v>
      </c>
      <c r="E26" s="11">
        <v>5000487</v>
      </c>
      <c r="F26" s="13">
        <v>6047473</v>
      </c>
      <c r="G26" s="13">
        <v>5621652</v>
      </c>
      <c r="H26" s="12">
        <v>5537013</v>
      </c>
      <c r="I26" s="13">
        <v>5285319</v>
      </c>
      <c r="J26" s="13">
        <v>6943767</v>
      </c>
      <c r="K26" s="13">
        <v>10851636</v>
      </c>
      <c r="L26" s="11">
        <v>8192943</v>
      </c>
      <c r="M26" s="11">
        <v>10931159</v>
      </c>
      <c r="N26" s="11">
        <v>13132882</v>
      </c>
      <c r="O26" s="44" t="s">
        <v>263</v>
      </c>
      <c r="P26" s="20"/>
      <c r="S26" s="13">
        <v>3097029</v>
      </c>
      <c r="T26" s="13">
        <v>5661379</v>
      </c>
      <c r="U26" s="12">
        <v>6427336</v>
      </c>
      <c r="V26" s="13">
        <v>12636456</v>
      </c>
      <c r="W26" s="13">
        <v>16456435</v>
      </c>
      <c r="X26" s="13">
        <v>12265731</v>
      </c>
    </row>
    <row r="27" spans="1:24" x14ac:dyDescent="0.2">
      <c r="A27" s="9" t="s">
        <v>115</v>
      </c>
      <c r="B27" t="s">
        <v>222</v>
      </c>
      <c r="C27" t="s">
        <v>222</v>
      </c>
      <c r="D27" t="s">
        <v>222</v>
      </c>
      <c r="E27" t="s">
        <v>222</v>
      </c>
      <c r="F27" s="14" t="s">
        <v>222</v>
      </c>
      <c r="G27" s="13">
        <v>0</v>
      </c>
      <c r="H27" s="12">
        <v>0</v>
      </c>
      <c r="I27" s="13">
        <v>0</v>
      </c>
      <c r="J27" s="13">
        <v>0</v>
      </c>
      <c r="K27" s="13">
        <v>0</v>
      </c>
      <c r="L27" s="11">
        <v>34000</v>
      </c>
      <c r="M27" s="11">
        <v>360000</v>
      </c>
      <c r="N27" s="11">
        <v>360000</v>
      </c>
      <c r="O27" s="22" t="s">
        <v>264</v>
      </c>
      <c r="P27" s="20"/>
      <c r="S27" s="13">
        <v>1187395</v>
      </c>
      <c r="T27" s="13">
        <v>1262077</v>
      </c>
      <c r="U27" s="12">
        <v>1301518</v>
      </c>
      <c r="V27" s="13">
        <v>2634776</v>
      </c>
      <c r="W27" s="13">
        <v>3423393</v>
      </c>
      <c r="X27" s="13">
        <v>5612526</v>
      </c>
    </row>
    <row r="28" spans="1:24" x14ac:dyDescent="0.2">
      <c r="A28" s="9" t="s">
        <v>91</v>
      </c>
      <c r="B28" s="11">
        <v>8190870</v>
      </c>
      <c r="C28" s="11">
        <v>8968714</v>
      </c>
      <c r="D28" s="11">
        <v>9287255</v>
      </c>
      <c r="E28" s="11">
        <v>13549693</v>
      </c>
      <c r="F28" s="11">
        <v>16548536</v>
      </c>
      <c r="G28" s="13">
        <v>24177895</v>
      </c>
      <c r="H28" s="13">
        <v>20553989</v>
      </c>
      <c r="I28" s="12">
        <v>23918559</v>
      </c>
      <c r="J28" s="13">
        <v>43052077</v>
      </c>
      <c r="K28" s="13">
        <v>69161043</v>
      </c>
      <c r="L28" s="13">
        <v>76554323</v>
      </c>
      <c r="M28" s="11">
        <v>80058988</v>
      </c>
      <c r="N28" s="11" t="s">
        <v>222</v>
      </c>
      <c r="O28" s="44" t="s">
        <v>263</v>
      </c>
      <c r="P28" s="20"/>
      <c r="S28" s="13">
        <v>2737013</v>
      </c>
      <c r="T28" s="13">
        <v>3215495</v>
      </c>
      <c r="U28" s="12">
        <v>3688854</v>
      </c>
      <c r="V28" s="13">
        <v>3060795</v>
      </c>
      <c r="W28" s="13">
        <v>2762710</v>
      </c>
      <c r="X28" s="13">
        <v>4663818</v>
      </c>
    </row>
    <row r="29" spans="1:24" x14ac:dyDescent="0.2">
      <c r="A29" s="9" t="s">
        <v>47</v>
      </c>
      <c r="B29" s="11">
        <v>0</v>
      </c>
      <c r="C29" s="11">
        <v>0</v>
      </c>
      <c r="D29" s="11">
        <v>272556</v>
      </c>
      <c r="E29" s="11">
        <v>898183</v>
      </c>
      <c r="F29" s="11">
        <v>2008675</v>
      </c>
      <c r="G29" s="13">
        <v>3097029</v>
      </c>
      <c r="H29" s="13">
        <v>5661379</v>
      </c>
      <c r="I29" s="12">
        <v>6427336</v>
      </c>
      <c r="J29" s="13">
        <v>12636456</v>
      </c>
      <c r="K29" s="13">
        <v>16456435</v>
      </c>
      <c r="L29" s="13">
        <v>12265731</v>
      </c>
      <c r="M29" s="11">
        <v>11584163</v>
      </c>
      <c r="N29" s="11">
        <v>12967428</v>
      </c>
      <c r="O29" s="44" t="s">
        <v>263</v>
      </c>
      <c r="P29" s="20"/>
      <c r="S29" s="13">
        <v>11444636</v>
      </c>
      <c r="T29" s="13">
        <v>11659953</v>
      </c>
      <c r="U29" s="12">
        <v>10569009</v>
      </c>
      <c r="V29" s="13">
        <v>14017593</v>
      </c>
      <c r="W29" s="13">
        <v>17827403</v>
      </c>
      <c r="X29" s="13">
        <v>17704991</v>
      </c>
    </row>
    <row r="30" spans="1:24" x14ac:dyDescent="0.2">
      <c r="A30" s="9" t="s">
        <v>52</v>
      </c>
      <c r="B30" s="11">
        <v>0</v>
      </c>
      <c r="C30" s="11">
        <v>0</v>
      </c>
      <c r="D30" s="11">
        <v>486957</v>
      </c>
      <c r="E30" s="11">
        <v>314743</v>
      </c>
      <c r="F30" s="11">
        <v>550111</v>
      </c>
      <c r="G30" s="13">
        <v>1187395</v>
      </c>
      <c r="H30" s="13">
        <v>1262077</v>
      </c>
      <c r="I30" s="12">
        <v>1301518</v>
      </c>
      <c r="J30" s="13">
        <v>2634776</v>
      </c>
      <c r="K30" s="13">
        <v>3423393</v>
      </c>
      <c r="L30" s="13">
        <v>5612526</v>
      </c>
      <c r="M30" s="11">
        <v>5080492</v>
      </c>
      <c r="N30" s="11">
        <v>5925696</v>
      </c>
      <c r="O30" s="44" t="s">
        <v>263</v>
      </c>
      <c r="P30" s="20"/>
      <c r="S30" s="13">
        <v>10012999</v>
      </c>
      <c r="T30" s="13">
        <v>12897734</v>
      </c>
      <c r="U30" s="12">
        <v>8891546</v>
      </c>
      <c r="V30" s="13">
        <v>10853349</v>
      </c>
      <c r="W30" s="13">
        <v>15742864</v>
      </c>
      <c r="X30" s="13">
        <v>14708042</v>
      </c>
    </row>
    <row r="31" spans="1:24" x14ac:dyDescent="0.2">
      <c r="A31" s="9" t="s">
        <v>58</v>
      </c>
      <c r="B31" s="11">
        <v>0</v>
      </c>
      <c r="C31" s="11">
        <v>2832111</v>
      </c>
      <c r="D31" s="11">
        <v>3363649</v>
      </c>
      <c r="E31" s="11">
        <v>2153098</v>
      </c>
      <c r="F31" s="11">
        <v>3273100</v>
      </c>
      <c r="G31" s="13">
        <v>2737013</v>
      </c>
      <c r="H31" s="13">
        <v>3215495</v>
      </c>
      <c r="I31" s="12">
        <v>3688854</v>
      </c>
      <c r="J31" s="13">
        <v>3060795</v>
      </c>
      <c r="K31" s="13">
        <v>2762710</v>
      </c>
      <c r="L31" s="13">
        <v>4663818</v>
      </c>
      <c r="M31" s="11">
        <v>4123429</v>
      </c>
      <c r="N31" s="11">
        <v>4409458</v>
      </c>
      <c r="O31" s="44" t="s">
        <v>263</v>
      </c>
      <c r="P31" s="20"/>
      <c r="S31" s="13"/>
      <c r="T31" s="13"/>
      <c r="U31" s="12"/>
      <c r="V31" s="13"/>
      <c r="W31" s="13"/>
      <c r="X31" s="13"/>
    </row>
    <row r="32" spans="1:24" x14ac:dyDescent="0.2">
      <c r="A32" s="9" t="s">
        <v>26</v>
      </c>
      <c r="B32" s="11" t="s">
        <v>222</v>
      </c>
      <c r="C32" s="11" t="s">
        <v>222</v>
      </c>
      <c r="D32" s="11" t="s">
        <v>222</v>
      </c>
      <c r="E32" s="11" t="s">
        <v>222</v>
      </c>
      <c r="F32" s="11" t="s">
        <v>222</v>
      </c>
      <c r="G32" s="13" t="s">
        <v>222</v>
      </c>
      <c r="H32" s="13" t="s">
        <v>222</v>
      </c>
      <c r="I32" s="12" t="s">
        <v>222</v>
      </c>
      <c r="J32" s="13" t="s">
        <v>222</v>
      </c>
      <c r="K32" s="13" t="s">
        <v>222</v>
      </c>
      <c r="L32" s="13" t="s">
        <v>222</v>
      </c>
      <c r="M32" s="11" t="s">
        <v>222</v>
      </c>
      <c r="N32" s="11" t="s">
        <v>222</v>
      </c>
      <c r="O32" s="43" t="s">
        <v>264</v>
      </c>
      <c r="P32" s="20"/>
      <c r="R32" s="20" t="s">
        <v>354</v>
      </c>
      <c r="S32" s="99">
        <f>SUM(S8:S30)</f>
        <v>235532123</v>
      </c>
      <c r="T32" s="99">
        <f t="shared" ref="T32:X32" si="1">SUM(T8:T30)</f>
        <v>248054142</v>
      </c>
      <c r="U32" s="99">
        <f t="shared" si="1"/>
        <v>275810247</v>
      </c>
      <c r="V32" s="99">
        <f t="shared" si="1"/>
        <v>331431341</v>
      </c>
      <c r="W32" s="99">
        <f t="shared" si="1"/>
        <v>397827108</v>
      </c>
      <c r="X32" s="99">
        <f t="shared" si="1"/>
        <v>445881107</v>
      </c>
    </row>
    <row r="33" spans="1:33" x14ac:dyDescent="0.2">
      <c r="A33" s="9" t="s">
        <v>69</v>
      </c>
      <c r="B33" s="11">
        <v>5637899</v>
      </c>
      <c r="C33" s="11">
        <v>7575491</v>
      </c>
      <c r="D33" s="11">
        <v>8664574</v>
      </c>
      <c r="E33" s="11">
        <v>9655161</v>
      </c>
      <c r="F33" s="11">
        <v>9814691</v>
      </c>
      <c r="G33" s="13">
        <v>11444636</v>
      </c>
      <c r="H33" s="13">
        <v>11659953</v>
      </c>
      <c r="I33" s="12">
        <v>10569009</v>
      </c>
      <c r="J33" s="13">
        <v>14017593</v>
      </c>
      <c r="K33" s="13">
        <v>17827403</v>
      </c>
      <c r="L33" s="13">
        <v>17704991</v>
      </c>
      <c r="M33" s="11">
        <v>17134906</v>
      </c>
      <c r="N33" s="11">
        <v>18314322</v>
      </c>
      <c r="O33" s="44" t="s">
        <v>263</v>
      </c>
      <c r="P33" s="20"/>
      <c r="AB33" t="s">
        <v>333</v>
      </c>
      <c r="AC33" t="s">
        <v>332</v>
      </c>
      <c r="AD33" s="87" t="s">
        <v>331</v>
      </c>
      <c r="AE33" t="s">
        <v>334</v>
      </c>
      <c r="AF33" t="s">
        <v>335</v>
      </c>
      <c r="AG33" t="s">
        <v>336</v>
      </c>
    </row>
    <row r="34" spans="1:33" x14ac:dyDescent="0.2">
      <c r="A34" s="9" t="s">
        <v>39</v>
      </c>
      <c r="B34" s="11" t="s">
        <v>260</v>
      </c>
      <c r="C34" s="11" t="s">
        <v>260</v>
      </c>
      <c r="D34" s="11" t="s">
        <v>260</v>
      </c>
      <c r="E34" s="11" t="s">
        <v>260</v>
      </c>
      <c r="F34" s="11" t="s">
        <v>260</v>
      </c>
      <c r="G34" s="13" t="s">
        <v>260</v>
      </c>
      <c r="H34" s="13">
        <v>0</v>
      </c>
      <c r="I34" s="12">
        <v>0</v>
      </c>
      <c r="J34" s="13">
        <v>0</v>
      </c>
      <c r="K34" s="13">
        <v>0</v>
      </c>
      <c r="L34" s="13">
        <v>0</v>
      </c>
      <c r="M34" s="11">
        <v>176134</v>
      </c>
      <c r="N34" s="11">
        <v>176134</v>
      </c>
      <c r="O34" s="43" t="s">
        <v>264</v>
      </c>
      <c r="P34" s="20"/>
      <c r="AA34" s="50" t="s">
        <v>360</v>
      </c>
      <c r="AB34" s="89">
        <f>S32</f>
        <v>235532123</v>
      </c>
      <c r="AC34" s="89">
        <f t="shared" ref="AC34:AF34" si="2">T32</f>
        <v>248054142</v>
      </c>
      <c r="AD34" s="89">
        <f t="shared" si="2"/>
        <v>275810247</v>
      </c>
      <c r="AE34" s="89">
        <f t="shared" si="2"/>
        <v>331431341</v>
      </c>
      <c r="AF34" s="89">
        <f t="shared" si="2"/>
        <v>397827108</v>
      </c>
      <c r="AG34" s="89">
        <f>X32</f>
        <v>445881107</v>
      </c>
    </row>
    <row r="35" spans="1:33" ht="16" thickBot="1" x14ac:dyDescent="0.25">
      <c r="A35" s="10" t="s">
        <v>63</v>
      </c>
      <c r="B35" s="11">
        <v>199481</v>
      </c>
      <c r="C35" s="11">
        <v>2860662</v>
      </c>
      <c r="D35" s="11">
        <v>6069438</v>
      </c>
      <c r="E35" s="11">
        <v>2556235</v>
      </c>
      <c r="F35" s="11">
        <v>5503911</v>
      </c>
      <c r="G35" s="11">
        <v>8062834</v>
      </c>
      <c r="H35" s="13">
        <v>10012999</v>
      </c>
      <c r="I35" s="13">
        <v>12897734</v>
      </c>
      <c r="J35" s="12">
        <v>8891546</v>
      </c>
      <c r="K35" s="13">
        <v>10853349</v>
      </c>
      <c r="L35" s="13">
        <v>15742864</v>
      </c>
      <c r="M35" s="13">
        <v>14708042</v>
      </c>
      <c r="N35" s="11" t="s">
        <v>222</v>
      </c>
      <c r="O35" s="44" t="s">
        <v>263</v>
      </c>
      <c r="P35" s="20"/>
      <c r="AA35" s="50" t="s">
        <v>361</v>
      </c>
      <c r="AB35" s="89">
        <f>S67</f>
        <v>290124912</v>
      </c>
      <c r="AC35" s="89">
        <f t="shared" ref="AC35:AG35" si="3">T67</f>
        <v>303060311</v>
      </c>
      <c r="AD35" s="89">
        <f t="shared" si="3"/>
        <v>318995129</v>
      </c>
      <c r="AE35" s="89">
        <f t="shared" si="3"/>
        <v>362532671</v>
      </c>
      <c r="AF35" s="89">
        <f t="shared" si="3"/>
        <v>368802682</v>
      </c>
      <c r="AG35" s="89">
        <f t="shared" si="3"/>
        <v>378379898</v>
      </c>
    </row>
    <row r="36" spans="1:33" x14ac:dyDescent="0.2">
      <c r="AA36" s="50" t="s">
        <v>355</v>
      </c>
      <c r="AB36" s="86"/>
      <c r="AC36" s="86"/>
      <c r="AE36" s="85">
        <f>(AE34-AD34)/AD34</f>
        <v>0.20166434933071939</v>
      </c>
      <c r="AF36" s="85">
        <f>(AF34-AD34)/AD34</f>
        <v>0.44239422692660146</v>
      </c>
      <c r="AG36" s="85">
        <f>(AG34-AD34)/AD34</f>
        <v>0.6166227029266248</v>
      </c>
    </row>
    <row r="37" spans="1:33" x14ac:dyDescent="0.2">
      <c r="N37" s="27" t="s">
        <v>274</v>
      </c>
      <c r="O37" s="30">
        <f>COUNTIF(O2:O35,"yes")</f>
        <v>23</v>
      </c>
      <c r="AA37" s="50" t="s">
        <v>356</v>
      </c>
      <c r="AE37" s="85">
        <f>(AE35-AD35)/AD35</f>
        <v>0.13648340693001618</v>
      </c>
      <c r="AF37" s="85">
        <f>(AF35-AD35)/AD35</f>
        <v>0.15613891395815013</v>
      </c>
      <c r="AG37" s="85">
        <f>(AG35-AD35)/AD35</f>
        <v>0.1861619930879885</v>
      </c>
    </row>
    <row r="38" spans="1:33" ht="16" thickBot="1" x14ac:dyDescent="0.25">
      <c r="AA38" s="50" t="s">
        <v>357</v>
      </c>
      <c r="AE38" s="86">
        <f>AE36-AE37</f>
        <v>6.5180942400703212E-2</v>
      </c>
      <c r="AF38" s="86">
        <f>AF36-AF37</f>
        <v>0.2862553129684513</v>
      </c>
      <c r="AG38" s="86">
        <f>AG36-AG37</f>
        <v>0.43046070983863627</v>
      </c>
    </row>
    <row r="39" spans="1:33" ht="16" thickBot="1" x14ac:dyDescent="0.25">
      <c r="B39" s="4">
        <v>2013</v>
      </c>
      <c r="C39" s="3">
        <f>B39+1</f>
        <v>2014</v>
      </c>
      <c r="D39" s="3">
        <f t="shared" ref="D39:N39" si="4">C39+1</f>
        <v>2015</v>
      </c>
      <c r="E39" s="3">
        <f t="shared" si="4"/>
        <v>2016</v>
      </c>
      <c r="F39" s="3">
        <f t="shared" si="4"/>
        <v>2017</v>
      </c>
      <c r="G39" s="3">
        <f t="shared" si="4"/>
        <v>2018</v>
      </c>
      <c r="H39" s="3">
        <f t="shared" si="4"/>
        <v>2019</v>
      </c>
      <c r="I39" s="3">
        <f t="shared" si="4"/>
        <v>2020</v>
      </c>
      <c r="J39" s="3">
        <f t="shared" si="4"/>
        <v>2021</v>
      </c>
      <c r="K39" s="3">
        <f t="shared" si="4"/>
        <v>2022</v>
      </c>
      <c r="L39" s="3">
        <f t="shared" si="4"/>
        <v>2023</v>
      </c>
      <c r="M39" s="3">
        <f t="shared" si="4"/>
        <v>2024</v>
      </c>
      <c r="N39" s="3">
        <f t="shared" si="4"/>
        <v>2025</v>
      </c>
      <c r="O39" s="24"/>
      <c r="P39" s="24"/>
      <c r="AA39" s="50" t="s">
        <v>359</v>
      </c>
      <c r="AD39">
        <v>275810247</v>
      </c>
      <c r="AE39" s="90">
        <f>AD34+AD34*AE37</f>
        <v>313453769.17676926</v>
      </c>
      <c r="AF39" s="90">
        <f>AD34+AD34*AF37</f>
        <v>318874959.42510915</v>
      </c>
      <c r="AG39" s="90">
        <f>AD34+AD34*AG37</f>
        <v>327155632.29561043</v>
      </c>
    </row>
    <row r="40" spans="1:33" x14ac:dyDescent="0.2">
      <c r="A40" s="8" t="s">
        <v>297</v>
      </c>
      <c r="B40" s="11"/>
      <c r="C40" s="13">
        <v>9179681</v>
      </c>
      <c r="D40" s="13">
        <v>7353872</v>
      </c>
      <c r="E40" s="12">
        <v>7786052</v>
      </c>
      <c r="F40" s="13">
        <v>8995022</v>
      </c>
      <c r="G40" s="13">
        <v>8351746</v>
      </c>
      <c r="H40" s="13">
        <v>11643196</v>
      </c>
      <c r="I40" s="11"/>
      <c r="J40" s="11"/>
      <c r="K40" s="11"/>
      <c r="L40" s="11"/>
      <c r="M40" s="11"/>
      <c r="N40" s="11"/>
      <c r="O40" s="23"/>
      <c r="P40" s="23"/>
    </row>
    <row r="41" spans="1:33" x14ac:dyDescent="0.2">
      <c r="A41" s="52" t="s">
        <v>296</v>
      </c>
      <c r="B41" s="11"/>
      <c r="C41" s="13">
        <v>1271659</v>
      </c>
      <c r="D41" s="13">
        <v>1810346</v>
      </c>
      <c r="E41" s="12">
        <v>2632440</v>
      </c>
      <c r="F41" s="13">
        <v>3023378</v>
      </c>
      <c r="G41" s="13">
        <v>2512476</v>
      </c>
      <c r="H41" s="13">
        <v>2369885</v>
      </c>
      <c r="I41" s="11"/>
      <c r="J41" s="11"/>
      <c r="K41" s="11"/>
      <c r="L41" s="11"/>
      <c r="M41" s="11"/>
      <c r="N41" s="11"/>
      <c r="O41" s="20"/>
      <c r="P41" s="20"/>
    </row>
    <row r="42" spans="1:33" ht="16" thickBot="1" x14ac:dyDescent="0.25">
      <c r="A42" s="82" t="s">
        <v>350</v>
      </c>
      <c r="B42" s="11"/>
      <c r="C42" s="13">
        <v>1227344</v>
      </c>
      <c r="D42" s="13">
        <v>1231817</v>
      </c>
      <c r="E42" s="12">
        <v>1497862</v>
      </c>
      <c r="F42" s="13">
        <v>1634470</v>
      </c>
      <c r="G42" s="13">
        <v>1878101</v>
      </c>
      <c r="H42" s="13">
        <v>2159992</v>
      </c>
      <c r="I42" s="11"/>
      <c r="J42" s="11"/>
      <c r="K42" s="11"/>
      <c r="L42" s="11"/>
      <c r="M42" s="11"/>
      <c r="N42" s="11"/>
      <c r="O42" s="21"/>
      <c r="P42" s="20"/>
      <c r="S42" s="24" t="s">
        <v>333</v>
      </c>
      <c r="T42" s="24" t="s">
        <v>332</v>
      </c>
      <c r="U42" s="24" t="s">
        <v>331</v>
      </c>
      <c r="V42" s="24" t="s">
        <v>334</v>
      </c>
      <c r="W42" s="24" t="s">
        <v>335</v>
      </c>
      <c r="X42" s="24" t="s">
        <v>336</v>
      </c>
    </row>
    <row r="43" spans="1:33" x14ac:dyDescent="0.2">
      <c r="A43" s="9" t="s">
        <v>298</v>
      </c>
      <c r="B43" s="11"/>
      <c r="C43" s="13">
        <v>21643930</v>
      </c>
      <c r="D43" s="13">
        <v>23948682</v>
      </c>
      <c r="E43" s="12">
        <v>25033375</v>
      </c>
      <c r="F43" s="13">
        <v>26185754</v>
      </c>
      <c r="G43" s="13">
        <v>28720476</v>
      </c>
      <c r="H43" s="13">
        <v>33737121</v>
      </c>
      <c r="I43" s="11"/>
      <c r="J43" s="11"/>
      <c r="K43" s="11"/>
      <c r="L43" s="11"/>
      <c r="M43" s="11"/>
      <c r="N43" s="11"/>
      <c r="O43" s="20"/>
      <c r="P43" s="20"/>
      <c r="S43" s="13">
        <v>9179681</v>
      </c>
      <c r="T43" s="13">
        <v>7353872</v>
      </c>
      <c r="U43" s="12">
        <v>7786052</v>
      </c>
      <c r="V43" s="13">
        <v>8995022</v>
      </c>
      <c r="W43" s="13">
        <v>8351746</v>
      </c>
      <c r="X43" s="13">
        <v>11643196</v>
      </c>
    </row>
    <row r="44" spans="1:33" x14ac:dyDescent="0.2">
      <c r="A44" s="54"/>
      <c r="B44" s="11"/>
      <c r="C44" s="13"/>
      <c r="D44" s="13"/>
      <c r="E44" s="12"/>
      <c r="F44" s="13"/>
      <c r="G44" s="13"/>
      <c r="H44" s="13"/>
      <c r="I44" s="11"/>
      <c r="J44" s="11"/>
      <c r="K44" s="11"/>
      <c r="L44" s="11"/>
      <c r="M44" s="11"/>
      <c r="N44" s="11"/>
      <c r="O44" s="20"/>
      <c r="P44" s="20"/>
      <c r="S44" s="13">
        <v>1271659</v>
      </c>
      <c r="T44" s="13">
        <v>1810346</v>
      </c>
      <c r="U44" s="12">
        <v>2632440</v>
      </c>
      <c r="V44" s="13">
        <v>3023378</v>
      </c>
      <c r="W44" s="13">
        <v>2512476</v>
      </c>
      <c r="X44" s="13">
        <v>2369885</v>
      </c>
    </row>
    <row r="45" spans="1:33" x14ac:dyDescent="0.2">
      <c r="A45" s="9"/>
      <c r="B45" s="11"/>
      <c r="C45" s="13"/>
      <c r="D45" s="13"/>
      <c r="E45" s="12"/>
      <c r="F45" s="13"/>
      <c r="G45" s="15"/>
      <c r="H45" s="13"/>
      <c r="I45" s="11"/>
      <c r="J45" s="11"/>
      <c r="K45" s="11"/>
      <c r="L45" s="11"/>
      <c r="M45" s="11"/>
      <c r="N45" s="11"/>
      <c r="O45" s="21"/>
      <c r="P45" s="20"/>
      <c r="S45" s="13">
        <v>1227344</v>
      </c>
      <c r="T45" s="13">
        <v>1231817</v>
      </c>
      <c r="U45" s="12">
        <v>1497862</v>
      </c>
      <c r="V45" s="13">
        <v>1634470</v>
      </c>
      <c r="W45" s="13">
        <v>1878101</v>
      </c>
      <c r="X45" s="13">
        <v>2159992</v>
      </c>
    </row>
    <row r="46" spans="1:33" x14ac:dyDescent="0.2">
      <c r="A46" s="54"/>
      <c r="B46" s="11"/>
      <c r="C46" s="13"/>
      <c r="D46" s="13"/>
      <c r="E46" s="12"/>
      <c r="F46" s="13"/>
      <c r="G46" s="13"/>
      <c r="H46" s="13"/>
      <c r="I46" s="11"/>
      <c r="J46" s="11"/>
      <c r="K46" s="11"/>
      <c r="L46" s="11"/>
      <c r="M46" s="11"/>
      <c r="N46" s="11"/>
      <c r="O46" s="21"/>
      <c r="P46" s="20"/>
      <c r="S46" s="13">
        <v>21643930</v>
      </c>
      <c r="T46" s="13">
        <v>23948682</v>
      </c>
      <c r="U46" s="12">
        <v>25033375</v>
      </c>
      <c r="V46" s="13">
        <v>26185754</v>
      </c>
      <c r="W46" s="13">
        <v>28720476</v>
      </c>
      <c r="X46" s="13">
        <v>33737121</v>
      </c>
    </row>
    <row r="47" spans="1:33" x14ac:dyDescent="0.2">
      <c r="A47" s="54" t="s">
        <v>349</v>
      </c>
      <c r="B47" s="11"/>
      <c r="C47" s="13">
        <v>1303323</v>
      </c>
      <c r="D47" s="13">
        <v>1523204</v>
      </c>
      <c r="E47" s="12">
        <v>2062962</v>
      </c>
      <c r="F47" s="13">
        <v>2279959</v>
      </c>
      <c r="G47" s="13">
        <v>2403087</v>
      </c>
      <c r="H47" s="13">
        <v>2635377</v>
      </c>
      <c r="I47" s="11"/>
      <c r="J47" s="11"/>
      <c r="K47" s="11"/>
      <c r="L47" s="11"/>
      <c r="M47" s="11"/>
      <c r="N47" s="11"/>
      <c r="O47" s="20"/>
      <c r="P47" s="20"/>
      <c r="S47" s="13">
        <v>1303323</v>
      </c>
      <c r="T47" s="13">
        <v>1523204</v>
      </c>
      <c r="U47" s="12">
        <v>2062962</v>
      </c>
      <c r="V47" s="13">
        <v>2279959</v>
      </c>
      <c r="W47" s="13">
        <v>2403087</v>
      </c>
      <c r="X47" s="13">
        <v>2635377</v>
      </c>
    </row>
    <row r="48" spans="1:33" x14ac:dyDescent="0.2">
      <c r="A48" s="54" t="s">
        <v>300</v>
      </c>
      <c r="B48" s="11"/>
      <c r="C48" s="13">
        <v>323494</v>
      </c>
      <c r="D48" s="13">
        <v>618092</v>
      </c>
      <c r="E48" s="12">
        <v>710845</v>
      </c>
      <c r="F48" s="13">
        <v>409005</v>
      </c>
      <c r="G48" s="13">
        <v>376180</v>
      </c>
      <c r="H48" s="13">
        <v>567622</v>
      </c>
      <c r="I48" s="11"/>
      <c r="J48" s="11"/>
      <c r="K48" s="11"/>
      <c r="L48" s="11"/>
      <c r="M48" s="11"/>
      <c r="N48" s="11"/>
      <c r="O48" s="20"/>
      <c r="P48" s="20"/>
      <c r="S48" s="13">
        <v>323494</v>
      </c>
      <c r="T48" s="13">
        <v>618092</v>
      </c>
      <c r="U48" s="12">
        <v>710845</v>
      </c>
      <c r="V48" s="13">
        <v>409005</v>
      </c>
      <c r="W48" s="13">
        <v>376180</v>
      </c>
      <c r="X48" s="13">
        <v>567622</v>
      </c>
    </row>
    <row r="49" spans="1:24" x14ac:dyDescent="0.2">
      <c r="A49" s="9"/>
      <c r="B49" s="11"/>
      <c r="C49" s="13"/>
      <c r="D49" s="13"/>
      <c r="E49" s="12"/>
      <c r="F49" s="13"/>
      <c r="G49" s="13"/>
      <c r="H49" s="13"/>
      <c r="I49" s="11"/>
      <c r="J49" s="11"/>
      <c r="K49" s="11"/>
      <c r="L49" s="11"/>
      <c r="M49" s="11"/>
      <c r="N49" s="11"/>
      <c r="O49" s="20"/>
      <c r="P49" s="20"/>
      <c r="S49" s="13">
        <v>15300250</v>
      </c>
      <c r="T49" s="13">
        <v>14971034</v>
      </c>
      <c r="U49" s="12">
        <v>15332865</v>
      </c>
      <c r="V49" s="13">
        <v>17589693</v>
      </c>
      <c r="W49" s="13">
        <v>18045219</v>
      </c>
      <c r="X49" s="13">
        <v>15170337</v>
      </c>
    </row>
    <row r="50" spans="1:24" x14ac:dyDescent="0.2">
      <c r="A50" s="9" t="s">
        <v>301</v>
      </c>
      <c r="B50" s="11"/>
      <c r="C50" s="11"/>
      <c r="D50" s="13">
        <v>15300250</v>
      </c>
      <c r="E50" s="13">
        <v>14971034</v>
      </c>
      <c r="F50" s="12">
        <v>15332865</v>
      </c>
      <c r="G50" s="13">
        <v>17589693</v>
      </c>
      <c r="H50" s="13">
        <v>18045219</v>
      </c>
      <c r="I50" s="13">
        <v>15170337</v>
      </c>
      <c r="J50" s="11"/>
      <c r="K50" s="11"/>
      <c r="L50" s="11"/>
      <c r="M50" s="11"/>
      <c r="N50" s="11"/>
      <c r="O50" s="20"/>
      <c r="P50" s="20"/>
      <c r="S50" s="13">
        <v>12720505</v>
      </c>
      <c r="T50" s="13">
        <v>12682480</v>
      </c>
      <c r="U50" s="12">
        <v>14060953</v>
      </c>
      <c r="V50" s="13">
        <v>21305276</v>
      </c>
      <c r="W50" s="13">
        <v>23265077</v>
      </c>
      <c r="X50" s="13">
        <v>23207254</v>
      </c>
    </row>
    <row r="51" spans="1:24" x14ac:dyDescent="0.2">
      <c r="A51" s="9" t="s">
        <v>303</v>
      </c>
      <c r="B51" s="11"/>
      <c r="C51" s="11"/>
      <c r="D51" s="13">
        <v>12720505</v>
      </c>
      <c r="E51" s="13">
        <v>12682480</v>
      </c>
      <c r="F51" s="12">
        <v>14060953</v>
      </c>
      <c r="G51" s="13">
        <v>21305276</v>
      </c>
      <c r="H51" s="13">
        <v>23265077</v>
      </c>
      <c r="I51" s="13">
        <v>23207254</v>
      </c>
      <c r="J51" s="11"/>
      <c r="K51" s="11"/>
      <c r="L51" s="11"/>
      <c r="M51" s="11"/>
      <c r="N51" s="11"/>
      <c r="O51" s="20"/>
      <c r="P51" s="20"/>
      <c r="S51" s="13">
        <v>568083</v>
      </c>
      <c r="T51" s="13">
        <v>696888</v>
      </c>
      <c r="U51" s="12">
        <v>786086</v>
      </c>
      <c r="V51" s="13">
        <v>1212178</v>
      </c>
      <c r="W51" s="13">
        <v>1564125</v>
      </c>
      <c r="X51" s="13">
        <v>1592957</v>
      </c>
    </row>
    <row r="52" spans="1:24" x14ac:dyDescent="0.2">
      <c r="A52" s="9" t="s">
        <v>304</v>
      </c>
      <c r="B52" s="11"/>
      <c r="C52" s="11"/>
      <c r="D52" s="13">
        <v>568083</v>
      </c>
      <c r="E52" s="13">
        <v>696888</v>
      </c>
      <c r="F52" s="12">
        <v>786086</v>
      </c>
      <c r="G52" s="13">
        <v>1212178</v>
      </c>
      <c r="H52" s="13">
        <v>1564125</v>
      </c>
      <c r="I52" s="13">
        <v>1592957</v>
      </c>
      <c r="J52" s="11"/>
      <c r="K52" s="11"/>
      <c r="L52" s="11"/>
      <c r="M52" s="11"/>
      <c r="N52" s="11"/>
      <c r="O52" s="20"/>
      <c r="P52" s="20"/>
      <c r="S52" s="13">
        <v>59899767</v>
      </c>
      <c r="T52" s="13">
        <v>65794604</v>
      </c>
      <c r="U52" s="12">
        <v>60837807</v>
      </c>
      <c r="V52" s="13">
        <v>82420197</v>
      </c>
      <c r="W52" s="13">
        <v>66057285</v>
      </c>
      <c r="X52" s="13">
        <v>76267426</v>
      </c>
    </row>
    <row r="53" spans="1:24" x14ac:dyDescent="0.2">
      <c r="A53" s="9" t="s">
        <v>306</v>
      </c>
      <c r="B53" s="11"/>
      <c r="C53" s="11"/>
      <c r="D53" s="13">
        <v>59899767</v>
      </c>
      <c r="E53" s="13">
        <v>65794604</v>
      </c>
      <c r="F53" s="12">
        <v>60837807</v>
      </c>
      <c r="G53" s="13">
        <v>82420197</v>
      </c>
      <c r="H53" s="13">
        <v>66057285</v>
      </c>
      <c r="I53" s="13">
        <v>76267426</v>
      </c>
      <c r="J53" s="11"/>
      <c r="K53" s="11"/>
      <c r="L53" s="11"/>
      <c r="M53" s="11"/>
      <c r="N53" s="11"/>
      <c r="O53" s="20"/>
      <c r="P53" s="20"/>
      <c r="S53" s="13">
        <v>13194079</v>
      </c>
      <c r="T53" s="13">
        <v>17828939</v>
      </c>
      <c r="U53" s="12">
        <v>40542567</v>
      </c>
      <c r="V53" s="13">
        <v>34112185</v>
      </c>
      <c r="W53" s="13">
        <v>32061744</v>
      </c>
      <c r="X53" s="13">
        <v>45179988</v>
      </c>
    </row>
    <row r="54" spans="1:24" x14ac:dyDescent="0.2">
      <c r="A54" s="9"/>
      <c r="B54" s="11"/>
      <c r="C54" s="11"/>
      <c r="D54" s="13"/>
      <c r="E54" s="13"/>
      <c r="F54" s="12"/>
      <c r="G54" s="13"/>
      <c r="H54" s="13"/>
      <c r="I54" s="13"/>
      <c r="J54" s="11"/>
      <c r="K54" s="11"/>
      <c r="L54" s="11"/>
      <c r="M54" s="11"/>
      <c r="N54" s="11"/>
      <c r="O54" s="20"/>
      <c r="P54" s="20"/>
      <c r="S54" s="13">
        <v>5226240</v>
      </c>
      <c r="T54" s="13">
        <v>7423729</v>
      </c>
      <c r="U54" s="12">
        <v>7629038</v>
      </c>
      <c r="V54" s="13">
        <v>6779422</v>
      </c>
      <c r="W54" s="13">
        <v>6903114</v>
      </c>
      <c r="X54" s="13">
        <v>7299667</v>
      </c>
    </row>
    <row r="55" spans="1:24" x14ac:dyDescent="0.2">
      <c r="A55" s="9"/>
      <c r="B55" s="11"/>
      <c r="C55" s="11"/>
      <c r="D55" s="13"/>
      <c r="E55" s="13"/>
      <c r="F55" s="12"/>
      <c r="G55" s="13"/>
      <c r="H55" s="13"/>
      <c r="I55" s="13"/>
      <c r="J55" s="11"/>
      <c r="K55" s="11"/>
      <c r="L55" s="11"/>
      <c r="M55" s="11"/>
      <c r="N55" s="11"/>
      <c r="O55" s="20"/>
      <c r="P55" s="20"/>
      <c r="S55" s="13">
        <v>177766</v>
      </c>
      <c r="T55" s="13">
        <v>255219</v>
      </c>
      <c r="U55" s="12">
        <v>535380</v>
      </c>
      <c r="V55" s="13">
        <v>509156</v>
      </c>
      <c r="W55" s="13">
        <v>860552</v>
      </c>
      <c r="X55" s="13">
        <v>243730</v>
      </c>
    </row>
    <row r="56" spans="1:24" x14ac:dyDescent="0.2">
      <c r="A56" s="9"/>
      <c r="B56" s="11"/>
      <c r="C56" s="11"/>
      <c r="D56" s="13"/>
      <c r="E56" s="13"/>
      <c r="F56" s="12"/>
      <c r="G56" s="13"/>
      <c r="H56" s="13"/>
      <c r="I56" s="13"/>
      <c r="J56" s="11"/>
      <c r="K56" s="11"/>
      <c r="L56" s="11"/>
      <c r="M56" s="11"/>
      <c r="N56" s="11"/>
      <c r="O56" s="20"/>
      <c r="P56" s="20"/>
      <c r="S56" s="13">
        <v>11251624</v>
      </c>
      <c r="T56" s="13">
        <v>13125057</v>
      </c>
      <c r="U56" s="12">
        <v>12009005</v>
      </c>
      <c r="V56" s="13">
        <v>12522057</v>
      </c>
      <c r="W56" s="13">
        <v>14393708</v>
      </c>
      <c r="X56" s="13">
        <v>14968605</v>
      </c>
    </row>
    <row r="57" spans="1:24" x14ac:dyDescent="0.2">
      <c r="A57" s="50" t="s">
        <v>309</v>
      </c>
      <c r="B57" s="11"/>
      <c r="C57" s="11"/>
      <c r="D57" s="11"/>
      <c r="E57" s="11"/>
      <c r="F57" s="13">
        <v>13194079</v>
      </c>
      <c r="G57" s="13">
        <v>17828939</v>
      </c>
      <c r="H57" s="12">
        <v>40542567</v>
      </c>
      <c r="I57" s="13">
        <v>34112185</v>
      </c>
      <c r="J57" s="13">
        <v>32061744</v>
      </c>
      <c r="K57" s="13">
        <v>45179988</v>
      </c>
      <c r="L57" s="11"/>
      <c r="M57" s="11"/>
      <c r="N57" s="11"/>
      <c r="O57" s="21"/>
      <c r="P57" s="20"/>
      <c r="S57" s="13">
        <v>3234182</v>
      </c>
      <c r="T57" s="13">
        <v>3587986</v>
      </c>
      <c r="U57" s="12">
        <v>3699502</v>
      </c>
      <c r="V57" s="13">
        <v>3485828</v>
      </c>
      <c r="W57" s="13">
        <v>4667996</v>
      </c>
      <c r="X57" s="13">
        <v>5477107</v>
      </c>
    </row>
    <row r="58" spans="1:24" x14ac:dyDescent="0.2">
      <c r="A58" t="s">
        <v>351</v>
      </c>
      <c r="B58" s="11"/>
      <c r="C58" s="11"/>
      <c r="D58" s="11"/>
      <c r="E58" s="11"/>
      <c r="F58" s="13">
        <v>12695923</v>
      </c>
      <c r="G58" s="13">
        <v>17889718</v>
      </c>
      <c r="H58" s="12">
        <v>19015964</v>
      </c>
      <c r="I58" s="13">
        <v>18764043</v>
      </c>
      <c r="J58" s="13">
        <v>29546822</v>
      </c>
      <c r="K58" s="13">
        <v>44238752</v>
      </c>
      <c r="L58" s="11"/>
      <c r="M58" s="11"/>
      <c r="N58" s="11"/>
      <c r="O58" s="43"/>
      <c r="P58" s="20"/>
      <c r="S58" s="13">
        <v>32513187</v>
      </c>
      <c r="T58" s="13">
        <v>31909132</v>
      </c>
      <c r="U58" s="12">
        <v>32227521</v>
      </c>
      <c r="V58" s="13">
        <v>24545570</v>
      </c>
      <c r="W58" s="13">
        <v>29065121</v>
      </c>
      <c r="X58" s="13">
        <v>31961940</v>
      </c>
    </row>
    <row r="59" spans="1:24" x14ac:dyDescent="0.2">
      <c r="A59" s="9" t="s">
        <v>311</v>
      </c>
      <c r="B59" s="11"/>
      <c r="C59" s="11"/>
      <c r="D59" s="11"/>
      <c r="E59" s="11"/>
      <c r="F59" s="13">
        <v>5226240</v>
      </c>
      <c r="G59" s="13">
        <v>7423729</v>
      </c>
      <c r="H59" s="12">
        <v>7629038</v>
      </c>
      <c r="I59" s="13">
        <v>6779422</v>
      </c>
      <c r="J59" s="13">
        <v>6903114</v>
      </c>
      <c r="K59" s="13">
        <v>7299667</v>
      </c>
      <c r="L59" s="11"/>
      <c r="M59" s="11"/>
      <c r="N59" s="11"/>
      <c r="O59" s="21"/>
      <c r="P59" s="20"/>
      <c r="S59" s="13">
        <v>1614744</v>
      </c>
      <c r="T59" s="13">
        <v>1874312</v>
      </c>
      <c r="U59" s="12">
        <v>2211178</v>
      </c>
      <c r="V59" s="13">
        <v>1977373</v>
      </c>
      <c r="W59" s="13">
        <v>2396100</v>
      </c>
      <c r="X59" s="13">
        <v>4658940</v>
      </c>
    </row>
    <row r="60" spans="1:24" x14ac:dyDescent="0.2">
      <c r="A60" s="9" t="s">
        <v>312</v>
      </c>
      <c r="B60" s="11"/>
      <c r="C60" s="11"/>
      <c r="D60" s="11"/>
      <c r="E60" s="11"/>
      <c r="F60" s="13">
        <v>177766</v>
      </c>
      <c r="G60" s="13">
        <v>255219</v>
      </c>
      <c r="H60" s="12">
        <v>535380</v>
      </c>
      <c r="I60" s="13">
        <v>509156</v>
      </c>
      <c r="J60" s="13">
        <v>860552</v>
      </c>
      <c r="K60" s="13">
        <v>243730</v>
      </c>
      <c r="L60" s="11"/>
      <c r="M60" s="11"/>
      <c r="N60" s="11"/>
      <c r="O60" s="20"/>
      <c r="P60" s="20"/>
      <c r="S60" s="13">
        <v>66431261</v>
      </c>
      <c r="T60" s="13">
        <v>64078285</v>
      </c>
      <c r="U60" s="12">
        <v>58572768</v>
      </c>
      <c r="V60" s="13">
        <v>80285744</v>
      </c>
      <c r="W60" s="13">
        <v>90499158</v>
      </c>
      <c r="X60" s="13">
        <v>66483710</v>
      </c>
    </row>
    <row r="61" spans="1:24" x14ac:dyDescent="0.2">
      <c r="A61" s="9" t="s">
        <v>314</v>
      </c>
      <c r="B61" s="11"/>
      <c r="C61" s="11"/>
      <c r="D61" s="11"/>
      <c r="E61" s="11"/>
      <c r="F61" s="13">
        <v>11251624</v>
      </c>
      <c r="G61" s="13">
        <v>13125057</v>
      </c>
      <c r="H61" s="12">
        <v>12009005</v>
      </c>
      <c r="I61" s="13">
        <v>12522057</v>
      </c>
      <c r="J61" s="13">
        <v>14393708</v>
      </c>
      <c r="K61" s="13">
        <v>14968605</v>
      </c>
      <c r="L61" s="11"/>
      <c r="M61" s="11"/>
      <c r="N61" s="11"/>
      <c r="O61" s="20"/>
      <c r="P61" s="20"/>
      <c r="S61" s="13">
        <v>3585452</v>
      </c>
      <c r="T61" s="13">
        <v>3289652</v>
      </c>
      <c r="U61" s="12">
        <v>4519585</v>
      </c>
      <c r="V61" s="13">
        <v>3793563</v>
      </c>
      <c r="W61" s="13">
        <v>3389772</v>
      </c>
      <c r="X61" s="13">
        <v>3436003</v>
      </c>
    </row>
    <row r="62" spans="1:24" x14ac:dyDescent="0.2">
      <c r="A62" s="9" t="s">
        <v>315</v>
      </c>
      <c r="B62" s="11"/>
      <c r="C62" s="11"/>
      <c r="D62" s="11"/>
      <c r="E62" s="11"/>
      <c r="F62" s="13">
        <v>3234182</v>
      </c>
      <c r="G62" s="13">
        <v>3587986</v>
      </c>
      <c r="H62" s="12">
        <v>3699502</v>
      </c>
      <c r="I62" s="13">
        <v>3485828</v>
      </c>
      <c r="J62" s="13">
        <v>4667996</v>
      </c>
      <c r="K62" s="13">
        <v>5477107</v>
      </c>
      <c r="L62" s="11"/>
      <c r="M62" s="11"/>
      <c r="N62" s="11"/>
      <c r="O62" s="20"/>
      <c r="P62" s="20"/>
      <c r="S62" s="13">
        <v>2044223</v>
      </c>
      <c r="T62" s="13">
        <v>1489434</v>
      </c>
      <c r="U62" s="12">
        <v>1675623</v>
      </c>
      <c r="V62" s="13">
        <v>1476762</v>
      </c>
      <c r="W62" s="13">
        <v>2096159</v>
      </c>
      <c r="X62" s="13">
        <v>1364420</v>
      </c>
    </row>
    <row r="63" spans="1:24" x14ac:dyDescent="0.2">
      <c r="A63" s="9" t="s">
        <v>317</v>
      </c>
      <c r="B63" s="11"/>
      <c r="C63" s="11"/>
      <c r="D63" s="11"/>
      <c r="E63" s="11"/>
      <c r="F63" s="13">
        <v>32513187</v>
      </c>
      <c r="G63" s="13">
        <v>31909132</v>
      </c>
      <c r="H63" s="12">
        <v>32227521</v>
      </c>
      <c r="I63" s="13">
        <v>24545570</v>
      </c>
      <c r="J63" s="13">
        <v>29065121</v>
      </c>
      <c r="K63" s="13">
        <v>31961940</v>
      </c>
      <c r="L63" s="11"/>
      <c r="M63" s="11"/>
      <c r="N63" s="11"/>
      <c r="O63" s="20"/>
      <c r="P63" s="20"/>
      <c r="S63" s="13">
        <v>3643016</v>
      </c>
      <c r="T63" s="13">
        <v>2331137</v>
      </c>
      <c r="U63" s="12">
        <v>1123166</v>
      </c>
      <c r="V63" s="13">
        <v>1373632</v>
      </c>
      <c r="W63" s="13">
        <v>2065920</v>
      </c>
      <c r="X63" s="13">
        <v>2075301</v>
      </c>
    </row>
    <row r="64" spans="1:24" x14ac:dyDescent="0.2">
      <c r="A64" s="9" t="s">
        <v>318</v>
      </c>
      <c r="B64" s="11"/>
      <c r="C64" s="11"/>
      <c r="D64" s="11"/>
      <c r="E64" s="11"/>
      <c r="F64" s="13">
        <v>1614744</v>
      </c>
      <c r="G64" s="13">
        <v>1874312</v>
      </c>
      <c r="H64" s="12">
        <v>2211178</v>
      </c>
      <c r="I64" s="13">
        <v>1977373</v>
      </c>
      <c r="J64" s="13">
        <v>2396100</v>
      </c>
      <c r="K64" s="13">
        <v>4658940</v>
      </c>
      <c r="L64" s="11"/>
      <c r="M64" s="11"/>
      <c r="N64" s="11"/>
      <c r="O64" s="20"/>
      <c r="P64" s="20"/>
      <c r="S64" s="13">
        <v>22996221</v>
      </c>
      <c r="T64" s="13">
        <v>24218653</v>
      </c>
      <c r="U64" s="12">
        <v>21759842</v>
      </c>
      <c r="V64" s="13">
        <v>24434167</v>
      </c>
      <c r="W64" s="13">
        <v>25058580</v>
      </c>
      <c r="X64" s="13">
        <v>24026891</v>
      </c>
    </row>
    <row r="65" spans="1:24" x14ac:dyDescent="0.2">
      <c r="A65" s="9"/>
      <c r="F65" s="14"/>
      <c r="G65" s="13"/>
      <c r="H65" s="12"/>
      <c r="I65" s="13"/>
      <c r="J65" s="13"/>
      <c r="K65" s="13"/>
      <c r="L65" s="11"/>
      <c r="M65" s="11"/>
      <c r="N65" s="11"/>
      <c r="O65" s="20"/>
      <c r="P65" s="20"/>
      <c r="S65" s="13">
        <v>774881</v>
      </c>
      <c r="T65" s="13">
        <v>1017757</v>
      </c>
      <c r="U65" s="12">
        <v>1748707</v>
      </c>
      <c r="V65" s="13">
        <v>2182280</v>
      </c>
      <c r="W65" s="13">
        <v>2170986</v>
      </c>
      <c r="X65" s="13">
        <v>1852429</v>
      </c>
    </row>
    <row r="66" spans="1:24" x14ac:dyDescent="0.2">
      <c r="A66" s="9" t="s">
        <v>319</v>
      </c>
      <c r="B66" s="11"/>
      <c r="C66" s="11"/>
      <c r="D66" s="11"/>
      <c r="E66" s="11"/>
      <c r="F66" s="11"/>
      <c r="G66" s="13">
        <v>66431261</v>
      </c>
      <c r="H66" s="13">
        <v>64078285</v>
      </c>
      <c r="I66" s="12">
        <v>58572768</v>
      </c>
      <c r="J66" s="13">
        <v>80285744</v>
      </c>
      <c r="K66" s="13">
        <v>90499158</v>
      </c>
      <c r="L66" s="13">
        <v>66483710</v>
      </c>
      <c r="M66" s="11"/>
      <c r="N66" s="11"/>
      <c r="O66" s="20"/>
      <c r="P66" s="20"/>
      <c r="S66" s="13"/>
      <c r="T66" s="13"/>
      <c r="U66" s="12"/>
      <c r="V66" s="13"/>
      <c r="W66" s="13"/>
      <c r="X66" s="13"/>
    </row>
    <row r="67" spans="1:24" x14ac:dyDescent="0.2">
      <c r="A67" s="9" t="s">
        <v>320</v>
      </c>
      <c r="B67" s="11"/>
      <c r="C67" s="11"/>
      <c r="D67" s="11"/>
      <c r="E67" s="11"/>
      <c r="F67" s="11"/>
      <c r="G67" s="13">
        <v>3585452</v>
      </c>
      <c r="H67" s="13">
        <v>3289652</v>
      </c>
      <c r="I67" s="12">
        <v>4519585</v>
      </c>
      <c r="J67" s="13">
        <v>3793563</v>
      </c>
      <c r="K67" s="13">
        <v>3389772</v>
      </c>
      <c r="L67" s="13">
        <v>3436003</v>
      </c>
      <c r="M67" s="11"/>
      <c r="N67" s="11"/>
      <c r="O67" s="20"/>
      <c r="P67" s="20"/>
      <c r="R67" s="20" t="s">
        <v>286</v>
      </c>
      <c r="S67" s="99">
        <f>SUM(S43:S65)</f>
        <v>290124912</v>
      </c>
      <c r="T67" s="99">
        <f t="shared" ref="T67:X67" si="5">SUM(T43:T65)</f>
        <v>303060311</v>
      </c>
      <c r="U67" s="99">
        <f t="shared" si="5"/>
        <v>318995129</v>
      </c>
      <c r="V67" s="99">
        <f t="shared" si="5"/>
        <v>362532671</v>
      </c>
      <c r="W67" s="99">
        <f t="shared" si="5"/>
        <v>368802682</v>
      </c>
      <c r="X67" s="99">
        <f t="shared" si="5"/>
        <v>378379898</v>
      </c>
    </row>
    <row r="68" spans="1:24" x14ac:dyDescent="0.2">
      <c r="A68" s="9" t="s">
        <v>322</v>
      </c>
      <c r="B68" s="11"/>
      <c r="C68" s="11"/>
      <c r="D68" s="11"/>
      <c r="E68" s="11"/>
      <c r="F68" s="11"/>
      <c r="G68" s="13">
        <v>2044223</v>
      </c>
      <c r="H68" s="13">
        <v>1489434</v>
      </c>
      <c r="I68" s="12">
        <v>1675623</v>
      </c>
      <c r="J68" s="13">
        <v>1476762</v>
      </c>
      <c r="K68" s="13">
        <v>2096159</v>
      </c>
      <c r="L68" s="13">
        <v>1364420</v>
      </c>
      <c r="M68" s="11"/>
      <c r="N68" s="11"/>
      <c r="O68" s="20"/>
      <c r="P68" s="20"/>
    </row>
    <row r="69" spans="1:24" x14ac:dyDescent="0.2">
      <c r="A69" s="50" t="s">
        <v>323</v>
      </c>
      <c r="B69" s="11"/>
      <c r="C69" s="11"/>
      <c r="D69" s="11"/>
      <c r="E69" s="11"/>
      <c r="F69" s="11"/>
      <c r="G69" s="13">
        <v>3643016</v>
      </c>
      <c r="H69" s="13">
        <v>2331137</v>
      </c>
      <c r="I69" s="12">
        <v>1123166</v>
      </c>
      <c r="J69" s="13">
        <v>1373632</v>
      </c>
      <c r="K69" s="13">
        <v>2065920</v>
      </c>
      <c r="L69" s="13">
        <v>2075301</v>
      </c>
      <c r="M69" s="11"/>
      <c r="N69" s="11"/>
      <c r="O69" s="20"/>
      <c r="P69" s="20"/>
    </row>
    <row r="70" spans="1:24" x14ac:dyDescent="0.2">
      <c r="A70" s="9"/>
      <c r="B70" s="11"/>
      <c r="C70" s="11"/>
      <c r="D70" s="11"/>
      <c r="E70" s="11"/>
      <c r="F70" s="11"/>
      <c r="G70" s="13"/>
      <c r="H70" s="13"/>
      <c r="I70" s="12"/>
      <c r="J70" s="13"/>
      <c r="K70" s="13"/>
      <c r="L70" s="13"/>
      <c r="M70" s="11"/>
      <c r="N70" s="11"/>
      <c r="O70" s="19"/>
      <c r="P70" s="20"/>
    </row>
    <row r="71" spans="1:24" x14ac:dyDescent="0.2">
      <c r="A71" s="9" t="s">
        <v>324</v>
      </c>
      <c r="B71" s="11"/>
      <c r="C71" s="11"/>
      <c r="D71" s="11"/>
      <c r="E71" s="11"/>
      <c r="F71" s="11"/>
      <c r="G71" s="13">
        <v>22996221</v>
      </c>
      <c r="H71" s="13">
        <v>24218653</v>
      </c>
      <c r="I71" s="12">
        <v>21759842</v>
      </c>
      <c r="J71" s="13">
        <v>24434167</v>
      </c>
      <c r="K71" s="13">
        <v>25058580</v>
      </c>
      <c r="L71" s="13">
        <v>24026891</v>
      </c>
      <c r="M71" s="11"/>
      <c r="N71" s="11"/>
      <c r="O71" s="20"/>
      <c r="P71" s="20"/>
    </row>
    <row r="72" spans="1:24" x14ac:dyDescent="0.2">
      <c r="A72" s="9"/>
      <c r="B72" s="11"/>
      <c r="C72" s="11"/>
      <c r="D72" s="11"/>
      <c r="E72" s="11"/>
      <c r="F72" s="11"/>
      <c r="G72" s="13"/>
      <c r="H72" s="13"/>
      <c r="I72" s="12"/>
      <c r="J72" s="13"/>
      <c r="K72" s="13"/>
      <c r="L72" s="13"/>
      <c r="M72" s="11"/>
      <c r="N72" s="11"/>
      <c r="O72" s="19"/>
      <c r="P72" s="20"/>
    </row>
    <row r="73" spans="1:24" ht="16" thickBot="1" x14ac:dyDescent="0.25">
      <c r="A73" s="10" t="s">
        <v>325</v>
      </c>
      <c r="B73" s="11"/>
      <c r="C73" s="11"/>
      <c r="D73" s="11"/>
      <c r="E73" s="11"/>
      <c r="F73" s="11"/>
      <c r="G73" s="11"/>
      <c r="H73" s="13">
        <v>774881</v>
      </c>
      <c r="I73" s="13">
        <v>1017757</v>
      </c>
      <c r="J73" s="12">
        <v>1748707</v>
      </c>
      <c r="K73" s="13">
        <v>2182280</v>
      </c>
      <c r="L73" s="13">
        <v>2170986</v>
      </c>
      <c r="M73" s="13">
        <v>1852429</v>
      </c>
      <c r="N73" s="11"/>
      <c r="O73" s="20"/>
      <c r="P73" s="20"/>
    </row>
  </sheetData>
  <dataValidations count="1">
    <dataValidation type="list" allowBlank="1" showInputMessage="1" showErrorMessage="1" sqref="O2:O35" xr:uid="{ACA3D80A-34C9-AC4E-8CB5-9D7948D0AB42}">
      <formula1>"Yes,No,IDK"</formula1>
    </dataValidation>
  </dataValidations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6DF0A-4E2F-1843-B77B-2396C49C570A}">
  <dimension ref="A1:AF73"/>
  <sheetViews>
    <sheetView topLeftCell="A29" zoomScale="84" zoomScaleNormal="119" workbookViewId="0">
      <selection activeCell="O73" sqref="O73"/>
    </sheetView>
  </sheetViews>
  <sheetFormatPr baseColWidth="10" defaultRowHeight="15" x14ac:dyDescent="0.2"/>
  <cols>
    <col min="1" max="1" width="37.33203125" customWidth="1"/>
    <col min="2" max="2" width="13.5" bestFit="1" customWidth="1"/>
    <col min="3" max="3" width="14.5" bestFit="1" customWidth="1"/>
    <col min="4" max="7" width="13.5" bestFit="1" customWidth="1"/>
    <col min="8" max="9" width="14.5" bestFit="1" customWidth="1"/>
    <col min="10" max="12" width="13.5" bestFit="1" customWidth="1"/>
    <col min="13" max="13" width="14" bestFit="1" customWidth="1"/>
    <col min="14" max="14" width="14.5" bestFit="1" customWidth="1"/>
    <col min="15" max="15" width="11.1640625" bestFit="1" customWidth="1"/>
    <col min="20" max="20" width="12.6640625" bestFit="1" customWidth="1"/>
    <col min="21" max="24" width="11.6640625" bestFit="1" customWidth="1"/>
    <col min="25" max="27" width="12.6640625" bestFit="1" customWidth="1"/>
    <col min="28" max="28" width="11.6640625" bestFit="1" customWidth="1"/>
    <col min="29" max="31" width="12.33203125" bestFit="1" customWidth="1"/>
    <col min="32" max="32" width="11.33203125" bestFit="1" customWidth="1"/>
  </cols>
  <sheetData>
    <row r="1" spans="1:24" ht="16" thickBot="1" x14ac:dyDescent="0.25">
      <c r="A1" t="s">
        <v>250</v>
      </c>
      <c r="B1" s="4">
        <v>2013</v>
      </c>
      <c r="C1" s="3">
        <f>B1+1</f>
        <v>2014</v>
      </c>
      <c r="D1" s="3">
        <f t="shared" ref="D1:N1" si="0">C1+1</f>
        <v>2015</v>
      </c>
      <c r="E1" s="3">
        <f t="shared" si="0"/>
        <v>2016</v>
      </c>
      <c r="F1" s="3">
        <f t="shared" si="0"/>
        <v>2017</v>
      </c>
      <c r="G1" s="3">
        <f t="shared" si="0"/>
        <v>2018</v>
      </c>
      <c r="H1" s="3">
        <f t="shared" si="0"/>
        <v>2019</v>
      </c>
      <c r="I1" s="3">
        <f t="shared" si="0"/>
        <v>2020</v>
      </c>
      <c r="J1" s="3">
        <f t="shared" si="0"/>
        <v>2021</v>
      </c>
      <c r="K1" s="3">
        <f t="shared" si="0"/>
        <v>2022</v>
      </c>
      <c r="L1" s="3">
        <f t="shared" si="0"/>
        <v>2023</v>
      </c>
      <c r="M1" s="3">
        <f t="shared" si="0"/>
        <v>2024</v>
      </c>
      <c r="N1" s="3">
        <f t="shared" si="0"/>
        <v>2025</v>
      </c>
      <c r="O1" s="24" t="s">
        <v>262</v>
      </c>
      <c r="P1" s="24" t="s">
        <v>224</v>
      </c>
    </row>
    <row r="2" spans="1:24" x14ac:dyDescent="0.2">
      <c r="A2" s="8" t="s">
        <v>123</v>
      </c>
      <c r="B2" s="11">
        <v>208947</v>
      </c>
      <c r="C2" s="13">
        <v>-1204130</v>
      </c>
      <c r="D2" s="13">
        <v>-1866881</v>
      </c>
      <c r="E2" s="12">
        <v>-584561</v>
      </c>
      <c r="F2" s="13">
        <v>-500917</v>
      </c>
      <c r="G2" s="13">
        <v>-428275</v>
      </c>
      <c r="H2" s="13">
        <v>-130080</v>
      </c>
      <c r="I2" s="11">
        <v>-73852</v>
      </c>
      <c r="J2" s="11">
        <v>-528266</v>
      </c>
      <c r="K2" s="11">
        <v>-879762</v>
      </c>
      <c r="L2" s="11">
        <v>-818767</v>
      </c>
      <c r="M2" s="11">
        <v>-525339</v>
      </c>
      <c r="N2" s="11">
        <v>-825026</v>
      </c>
      <c r="O2" s="46" t="s">
        <v>263</v>
      </c>
      <c r="P2" s="23"/>
    </row>
    <row r="3" spans="1:24" x14ac:dyDescent="0.2">
      <c r="A3" s="9" t="s">
        <v>129</v>
      </c>
      <c r="B3" s="11">
        <v>-31162</v>
      </c>
      <c r="C3" s="13">
        <v>-302334</v>
      </c>
      <c r="D3" s="13">
        <v>-196678</v>
      </c>
      <c r="E3" s="12" t="s">
        <v>222</v>
      </c>
      <c r="F3" s="13" t="s">
        <v>222</v>
      </c>
      <c r="G3" s="13" t="s">
        <v>222</v>
      </c>
      <c r="H3" s="13">
        <v>-151774</v>
      </c>
      <c r="I3" s="11">
        <v>-318539</v>
      </c>
      <c r="J3" s="11">
        <v>-507376</v>
      </c>
      <c r="K3" s="11">
        <v>-412218</v>
      </c>
      <c r="L3" s="11">
        <v>-398215</v>
      </c>
      <c r="M3" s="11">
        <v>-3506903</v>
      </c>
      <c r="N3" s="11" t="s">
        <v>222</v>
      </c>
      <c r="O3" s="22" t="s">
        <v>264</v>
      </c>
      <c r="P3" s="20"/>
    </row>
    <row r="4" spans="1:24" x14ac:dyDescent="0.2">
      <c r="A4" s="9" t="s">
        <v>144</v>
      </c>
      <c r="B4" s="11">
        <v>-19229191</v>
      </c>
      <c r="C4" s="13" t="s">
        <v>222</v>
      </c>
      <c r="D4" s="13" t="s">
        <v>222</v>
      </c>
      <c r="E4" s="12" t="s">
        <v>222</v>
      </c>
      <c r="F4" s="13" t="s">
        <v>222</v>
      </c>
      <c r="G4" s="13">
        <v>-20870755</v>
      </c>
      <c r="H4" s="13">
        <v>-21337630</v>
      </c>
      <c r="I4" s="11">
        <v>-6391471</v>
      </c>
      <c r="J4" s="11">
        <v>-3003604</v>
      </c>
      <c r="K4" s="11">
        <v>-3927398</v>
      </c>
      <c r="L4" s="11">
        <v>-9468935</v>
      </c>
      <c r="M4" s="11">
        <v>-3721279</v>
      </c>
      <c r="N4" s="11">
        <v>-2112381</v>
      </c>
      <c r="O4" s="43" t="s">
        <v>264</v>
      </c>
      <c r="P4" s="20"/>
    </row>
    <row r="5" spans="1:24" x14ac:dyDescent="0.2">
      <c r="A5" s="9" t="s">
        <v>133</v>
      </c>
      <c r="B5" s="11">
        <v>-2836636</v>
      </c>
      <c r="C5" s="13">
        <v>-2178797</v>
      </c>
      <c r="D5" s="13">
        <v>-1603849</v>
      </c>
      <c r="E5" s="12">
        <v>-3198365</v>
      </c>
      <c r="F5" s="13">
        <v>-2602981</v>
      </c>
      <c r="G5" s="13">
        <v>-2305741</v>
      </c>
      <c r="H5" s="13">
        <v>-7235548</v>
      </c>
      <c r="I5" s="11">
        <v>-4747020</v>
      </c>
      <c r="J5" s="11">
        <v>-1039595</v>
      </c>
      <c r="K5" s="11">
        <v>-486127</v>
      </c>
      <c r="L5" s="11">
        <v>-2669876</v>
      </c>
      <c r="M5" s="11">
        <v>-6300366</v>
      </c>
      <c r="N5" s="11" t="s">
        <v>222</v>
      </c>
      <c r="O5" s="44" t="s">
        <v>263</v>
      </c>
      <c r="P5" s="20"/>
    </row>
    <row r="6" spans="1:24" ht="16" thickBot="1" x14ac:dyDescent="0.25">
      <c r="A6" s="9" t="s">
        <v>139</v>
      </c>
      <c r="B6" s="11" t="s">
        <v>222</v>
      </c>
      <c r="C6" s="13" t="s">
        <v>222</v>
      </c>
      <c r="D6" s="13" t="s">
        <v>222</v>
      </c>
      <c r="E6" s="12" t="s">
        <v>222</v>
      </c>
      <c r="F6" s="13" t="s">
        <v>222</v>
      </c>
      <c r="G6" s="13" t="s">
        <v>222</v>
      </c>
      <c r="H6" s="13" t="s">
        <v>222</v>
      </c>
      <c r="I6" s="11" t="s">
        <v>222</v>
      </c>
      <c r="J6" s="11" t="s">
        <v>222</v>
      </c>
      <c r="K6" s="11" t="s">
        <v>222</v>
      </c>
      <c r="L6" s="11" t="s">
        <v>222</v>
      </c>
      <c r="M6" s="11" t="s">
        <v>222</v>
      </c>
      <c r="N6" s="11" t="s">
        <v>222</v>
      </c>
      <c r="O6" s="22" t="s">
        <v>264</v>
      </c>
      <c r="P6" s="20"/>
      <c r="S6" s="24" t="s">
        <v>333</v>
      </c>
      <c r="T6" s="24" t="s">
        <v>332</v>
      </c>
      <c r="U6" s="24" t="s">
        <v>331</v>
      </c>
      <c r="V6" s="24" t="s">
        <v>334</v>
      </c>
      <c r="W6" s="24" t="s">
        <v>335</v>
      </c>
      <c r="X6" s="24" t="s">
        <v>336</v>
      </c>
    </row>
    <row r="7" spans="1:24" x14ac:dyDescent="0.2">
      <c r="A7" s="9" t="s">
        <v>205</v>
      </c>
      <c r="B7" s="11" t="s">
        <v>222</v>
      </c>
      <c r="C7" s="13" t="s">
        <v>222</v>
      </c>
      <c r="D7" s="13" t="s">
        <v>222</v>
      </c>
      <c r="E7" s="12" t="s">
        <v>222</v>
      </c>
      <c r="F7" s="13" t="s">
        <v>222</v>
      </c>
      <c r="G7" s="15" t="s">
        <v>222</v>
      </c>
      <c r="H7" s="13" t="s">
        <v>222</v>
      </c>
      <c r="I7" s="11" t="s">
        <v>222</v>
      </c>
      <c r="J7" s="11" t="s">
        <v>222</v>
      </c>
      <c r="K7" s="11" t="s">
        <v>222</v>
      </c>
      <c r="L7" s="11" t="s">
        <v>222</v>
      </c>
      <c r="M7" s="11" t="s">
        <v>222</v>
      </c>
      <c r="N7" s="11" t="s">
        <v>222</v>
      </c>
      <c r="O7" s="43" t="s">
        <v>264</v>
      </c>
      <c r="P7" s="20"/>
      <c r="S7" s="14">
        <v>1204130</v>
      </c>
      <c r="T7" s="14">
        <v>1866881</v>
      </c>
      <c r="U7" s="100">
        <v>584561</v>
      </c>
      <c r="V7" s="14">
        <v>500917</v>
      </c>
      <c r="W7" s="14">
        <v>428275</v>
      </c>
      <c r="X7" s="14">
        <v>130080</v>
      </c>
    </row>
    <row r="8" spans="1:24" x14ac:dyDescent="0.2">
      <c r="A8" s="9" t="s">
        <v>159</v>
      </c>
      <c r="B8" s="11" t="s">
        <v>222</v>
      </c>
      <c r="C8" s="13" t="s">
        <v>222</v>
      </c>
      <c r="D8" s="13" t="s">
        <v>222</v>
      </c>
      <c r="E8" s="12" t="s">
        <v>222</v>
      </c>
      <c r="F8" s="13" t="s">
        <v>222</v>
      </c>
      <c r="G8" s="13" t="s">
        <v>222</v>
      </c>
      <c r="H8" s="13" t="s">
        <v>222</v>
      </c>
      <c r="I8" s="11" t="s">
        <v>222</v>
      </c>
      <c r="J8" s="11" t="s">
        <v>222</v>
      </c>
      <c r="K8" s="11" t="s">
        <v>222</v>
      </c>
      <c r="L8" s="11" t="s">
        <v>222</v>
      </c>
      <c r="M8" s="11" t="s">
        <v>222</v>
      </c>
      <c r="N8" s="11" t="s">
        <v>222</v>
      </c>
      <c r="O8" s="43" t="s">
        <v>264</v>
      </c>
      <c r="P8" s="20"/>
      <c r="S8" s="14">
        <v>2178797</v>
      </c>
      <c r="T8" s="14">
        <v>1603849</v>
      </c>
      <c r="U8" s="100">
        <v>3198365</v>
      </c>
      <c r="V8" s="14">
        <v>2602981</v>
      </c>
      <c r="W8" s="14">
        <v>2305741</v>
      </c>
      <c r="X8" s="14">
        <v>7235548</v>
      </c>
    </row>
    <row r="9" spans="1:24" x14ac:dyDescent="0.2">
      <c r="A9" s="9" t="s">
        <v>164</v>
      </c>
      <c r="B9" s="11" t="s">
        <v>222</v>
      </c>
      <c r="C9" s="13" t="s">
        <v>222</v>
      </c>
      <c r="D9" s="13" t="s">
        <v>222</v>
      </c>
      <c r="E9" s="12" t="s">
        <v>222</v>
      </c>
      <c r="F9" s="13" t="s">
        <v>222</v>
      </c>
      <c r="G9" s="13" t="s">
        <v>222</v>
      </c>
      <c r="H9" s="13" t="s">
        <v>222</v>
      </c>
      <c r="I9" s="11" t="s">
        <v>222</v>
      </c>
      <c r="J9" s="11" t="s">
        <v>222</v>
      </c>
      <c r="K9" s="11" t="s">
        <v>222</v>
      </c>
      <c r="L9" s="11" t="s">
        <v>222</v>
      </c>
      <c r="M9" s="11" t="s">
        <v>222</v>
      </c>
      <c r="N9" s="11" t="s">
        <v>222</v>
      </c>
      <c r="O9" s="22" t="s">
        <v>264</v>
      </c>
      <c r="P9" s="20"/>
      <c r="S9" s="14">
        <v>8631697</v>
      </c>
      <c r="T9" s="14">
        <v>668353</v>
      </c>
      <c r="U9" s="100">
        <v>694074</v>
      </c>
      <c r="V9" s="14">
        <v>2614693</v>
      </c>
      <c r="W9" s="14">
        <v>4258609</v>
      </c>
      <c r="X9" s="14">
        <v>8476925</v>
      </c>
    </row>
    <row r="10" spans="1:24" x14ac:dyDescent="0.2">
      <c r="A10" s="9" t="s">
        <v>182</v>
      </c>
      <c r="B10" s="11">
        <v>589920</v>
      </c>
      <c r="C10" s="13">
        <v>-207356</v>
      </c>
      <c r="D10" s="13">
        <v>-610060</v>
      </c>
      <c r="E10" s="12">
        <v>-142271</v>
      </c>
      <c r="F10" s="13">
        <v>-429404</v>
      </c>
      <c r="G10" s="13">
        <v>-609009</v>
      </c>
      <c r="H10" s="13">
        <v>-594680</v>
      </c>
      <c r="I10" s="11">
        <v>-816925</v>
      </c>
      <c r="J10" s="11">
        <v>-83175</v>
      </c>
      <c r="K10" s="11">
        <v>-6423429</v>
      </c>
      <c r="L10" s="11">
        <v>-594803</v>
      </c>
      <c r="M10" s="11">
        <v>-77132</v>
      </c>
      <c r="N10" s="11" t="s">
        <v>222</v>
      </c>
      <c r="O10" s="44" t="s">
        <v>263</v>
      </c>
      <c r="P10" s="20"/>
      <c r="S10" s="14">
        <v>85580</v>
      </c>
      <c r="T10" s="14">
        <v>1830314</v>
      </c>
      <c r="U10" s="100">
        <v>1737524</v>
      </c>
      <c r="V10" s="14">
        <v>1671437</v>
      </c>
      <c r="W10" s="14">
        <v>470762</v>
      </c>
      <c r="X10" s="14">
        <v>511136</v>
      </c>
    </row>
    <row r="11" spans="1:24" x14ac:dyDescent="0.2">
      <c r="A11" s="9" t="s">
        <v>209</v>
      </c>
      <c r="B11" s="11">
        <v>-53530</v>
      </c>
      <c r="C11" s="13" t="s">
        <v>222</v>
      </c>
      <c r="D11" s="13" t="s">
        <v>222</v>
      </c>
      <c r="E11" s="12" t="s">
        <v>222</v>
      </c>
      <c r="F11" s="13" t="s">
        <v>222</v>
      </c>
      <c r="G11" s="13" t="s">
        <v>222</v>
      </c>
      <c r="H11" s="13" t="s">
        <v>222</v>
      </c>
      <c r="I11" s="11" t="s">
        <v>222</v>
      </c>
      <c r="J11" s="11" t="s">
        <v>222</v>
      </c>
      <c r="K11" s="11" t="s">
        <v>222</v>
      </c>
      <c r="L11" s="11" t="s">
        <v>222</v>
      </c>
      <c r="M11" s="11" t="s">
        <v>222</v>
      </c>
      <c r="N11" s="11" t="s">
        <v>222</v>
      </c>
      <c r="O11" s="22" t="s">
        <v>264</v>
      </c>
      <c r="P11" s="20" t="s">
        <v>266</v>
      </c>
      <c r="S11" s="14">
        <v>845734</v>
      </c>
      <c r="T11" s="14">
        <v>2390968</v>
      </c>
      <c r="U11" s="100">
        <v>2770758</v>
      </c>
      <c r="V11" s="14">
        <v>1960177</v>
      </c>
      <c r="W11" s="14">
        <v>1818664</v>
      </c>
      <c r="X11" s="14">
        <v>706522</v>
      </c>
    </row>
    <row r="12" spans="1:24" x14ac:dyDescent="0.2">
      <c r="A12" s="9" t="s">
        <v>170</v>
      </c>
      <c r="B12" s="11">
        <v>-1059775</v>
      </c>
      <c r="C12" s="11">
        <v>-202782</v>
      </c>
      <c r="D12" s="13">
        <v>-8631697</v>
      </c>
      <c r="E12" s="13">
        <v>-668353</v>
      </c>
      <c r="F12" s="12">
        <v>-694074</v>
      </c>
      <c r="G12" s="13">
        <v>-2614693</v>
      </c>
      <c r="H12" s="13">
        <v>-4258609</v>
      </c>
      <c r="I12" s="13">
        <v>-8476925</v>
      </c>
      <c r="J12" s="11">
        <v>-5160228</v>
      </c>
      <c r="K12" s="11">
        <v>-1774292</v>
      </c>
      <c r="L12" s="11">
        <v>-1027298</v>
      </c>
      <c r="M12" s="11">
        <v>-284287</v>
      </c>
      <c r="N12" s="11">
        <v>-233604</v>
      </c>
      <c r="O12" s="44" t="s">
        <v>263</v>
      </c>
      <c r="P12" s="20"/>
      <c r="S12" s="14">
        <v>886122</v>
      </c>
      <c r="T12" s="14">
        <v>465145</v>
      </c>
      <c r="U12" s="100">
        <v>926858</v>
      </c>
      <c r="V12" s="14">
        <v>1695600</v>
      </c>
      <c r="W12" s="14">
        <v>220385</v>
      </c>
      <c r="X12" s="14">
        <v>270442</v>
      </c>
    </row>
    <row r="13" spans="1:24" x14ac:dyDescent="0.2">
      <c r="A13" s="9" t="s">
        <v>175</v>
      </c>
      <c r="B13" s="11">
        <v>-532832</v>
      </c>
      <c r="C13" s="11">
        <v>-334174</v>
      </c>
      <c r="D13" s="13">
        <v>-85580</v>
      </c>
      <c r="E13" s="13">
        <v>-1830314</v>
      </c>
      <c r="F13" s="12">
        <v>-1737524</v>
      </c>
      <c r="G13" s="13">
        <v>-1671437</v>
      </c>
      <c r="H13" s="13">
        <v>-470762</v>
      </c>
      <c r="I13" s="13">
        <v>-511136</v>
      </c>
      <c r="J13" s="11">
        <v>-334659</v>
      </c>
      <c r="K13" s="11">
        <v>-283242</v>
      </c>
      <c r="L13" s="11">
        <v>-232340</v>
      </c>
      <c r="M13" s="11">
        <v>-317491</v>
      </c>
      <c r="N13" s="11" t="s">
        <v>222</v>
      </c>
      <c r="O13" s="44" t="s">
        <v>263</v>
      </c>
      <c r="P13" s="20"/>
      <c r="S13" s="14">
        <v>615976</v>
      </c>
      <c r="T13" s="14">
        <v>565719</v>
      </c>
      <c r="U13" s="100">
        <v>155711</v>
      </c>
      <c r="V13" s="14">
        <v>115629</v>
      </c>
      <c r="W13" s="14">
        <v>317090</v>
      </c>
      <c r="X13" s="14">
        <v>951104</v>
      </c>
    </row>
    <row r="14" spans="1:24" x14ac:dyDescent="0.2">
      <c r="A14" s="9" t="s">
        <v>186</v>
      </c>
      <c r="B14" s="11">
        <v>-170450</v>
      </c>
      <c r="C14" s="11" t="s">
        <v>222</v>
      </c>
      <c r="D14" s="13" t="s">
        <v>222</v>
      </c>
      <c r="E14" s="13" t="s">
        <v>222</v>
      </c>
      <c r="F14" s="12" t="s">
        <v>222</v>
      </c>
      <c r="G14" s="13" t="s">
        <v>222</v>
      </c>
      <c r="H14" s="13" t="s">
        <v>222</v>
      </c>
      <c r="I14" s="13" t="s">
        <v>222</v>
      </c>
      <c r="J14" s="11" t="s">
        <v>222</v>
      </c>
      <c r="K14" s="11">
        <v>-58223</v>
      </c>
      <c r="L14" s="11">
        <v>-88041</v>
      </c>
      <c r="M14" s="11" t="s">
        <v>222</v>
      </c>
      <c r="N14" s="11" t="s">
        <v>222</v>
      </c>
      <c r="O14" s="22" t="s">
        <v>264</v>
      </c>
      <c r="P14" s="20"/>
      <c r="S14" s="14">
        <v>694254</v>
      </c>
      <c r="T14" s="14">
        <v>1859123</v>
      </c>
      <c r="U14" s="100">
        <v>3752044</v>
      </c>
      <c r="V14" s="14">
        <v>2564153</v>
      </c>
      <c r="W14" s="14">
        <v>2298728</v>
      </c>
      <c r="X14" s="14">
        <v>5089609</v>
      </c>
    </row>
    <row r="15" spans="1:24" x14ac:dyDescent="0.2">
      <c r="A15" s="9" t="s">
        <v>195</v>
      </c>
      <c r="B15" s="11" t="s">
        <v>222</v>
      </c>
      <c r="C15" s="11" t="s">
        <v>222</v>
      </c>
      <c r="D15" s="13">
        <v>-845734</v>
      </c>
      <c r="E15" s="13">
        <v>-2390968</v>
      </c>
      <c r="F15" s="12">
        <v>-2770758</v>
      </c>
      <c r="G15" s="13">
        <v>-1960177</v>
      </c>
      <c r="H15" s="13">
        <v>-1818664</v>
      </c>
      <c r="I15" s="13">
        <v>-706522</v>
      </c>
      <c r="J15" s="11">
        <v>-1407853</v>
      </c>
      <c r="K15" s="11">
        <v>-4327471</v>
      </c>
      <c r="L15" s="11">
        <v>-3464524</v>
      </c>
      <c r="M15" s="11">
        <v>-804655</v>
      </c>
      <c r="N15" s="11" t="s">
        <v>222</v>
      </c>
      <c r="O15" s="44" t="s">
        <v>263</v>
      </c>
      <c r="P15" s="20"/>
      <c r="S15" s="14">
        <v>9256829</v>
      </c>
      <c r="T15" s="14">
        <v>6279069</v>
      </c>
      <c r="U15" s="100">
        <v>11154747</v>
      </c>
      <c r="V15" s="14">
        <v>4581057</v>
      </c>
      <c r="W15" s="14">
        <v>19957951</v>
      </c>
      <c r="X15" s="14">
        <v>28721635</v>
      </c>
    </row>
    <row r="16" spans="1:24" x14ac:dyDescent="0.2">
      <c r="A16" s="9" t="s">
        <v>151</v>
      </c>
      <c r="B16" s="11">
        <v>-32631</v>
      </c>
      <c r="C16" s="11">
        <v>-118259</v>
      </c>
      <c r="D16" s="13" t="s">
        <v>222</v>
      </c>
      <c r="E16" s="13" t="s">
        <v>222</v>
      </c>
      <c r="F16" s="12" t="s">
        <v>222</v>
      </c>
      <c r="G16" s="13" t="s">
        <v>222</v>
      </c>
      <c r="H16" s="13" t="s">
        <v>222</v>
      </c>
      <c r="I16" s="13" t="s">
        <v>222</v>
      </c>
      <c r="J16" s="11" t="s">
        <v>222</v>
      </c>
      <c r="K16" s="11" t="s">
        <v>222</v>
      </c>
      <c r="L16" s="11" t="s">
        <v>222</v>
      </c>
      <c r="M16" s="11" t="s">
        <v>222</v>
      </c>
      <c r="N16" s="11" t="s">
        <v>222</v>
      </c>
      <c r="O16" s="22" t="s">
        <v>264</v>
      </c>
      <c r="P16" s="20" t="s">
        <v>266</v>
      </c>
      <c r="S16" s="14">
        <v>36500</v>
      </c>
      <c r="T16" s="14">
        <v>77762</v>
      </c>
      <c r="U16" s="100">
        <v>410425</v>
      </c>
      <c r="V16" s="14">
        <v>214614</v>
      </c>
      <c r="W16" s="14">
        <v>284027</v>
      </c>
      <c r="X16" s="14">
        <v>118466</v>
      </c>
    </row>
    <row r="17" spans="1:32" x14ac:dyDescent="0.2">
      <c r="A17" s="9" t="s">
        <v>190</v>
      </c>
      <c r="B17" s="11" t="s">
        <v>222</v>
      </c>
      <c r="C17" s="11" t="s">
        <v>222</v>
      </c>
      <c r="D17" s="13" t="s">
        <v>222</v>
      </c>
      <c r="E17" s="13" t="s">
        <v>222</v>
      </c>
      <c r="F17" s="12" t="s">
        <v>222</v>
      </c>
      <c r="G17" s="13" t="s">
        <v>222</v>
      </c>
      <c r="H17" s="13" t="s">
        <v>222</v>
      </c>
      <c r="I17" s="13" t="s">
        <v>222</v>
      </c>
      <c r="J17" s="11" t="s">
        <v>222</v>
      </c>
      <c r="K17" s="11" t="s">
        <v>222</v>
      </c>
      <c r="L17" s="11" t="s">
        <v>222</v>
      </c>
      <c r="M17" s="11" t="s">
        <v>222</v>
      </c>
      <c r="N17" s="11" t="s">
        <v>222</v>
      </c>
      <c r="O17" s="22" t="s">
        <v>264</v>
      </c>
      <c r="P17" s="20"/>
      <c r="S17" s="14">
        <v>384671</v>
      </c>
      <c r="T17" s="14">
        <v>796205</v>
      </c>
      <c r="U17" s="100">
        <v>2311256</v>
      </c>
      <c r="V17" s="14">
        <v>1205432</v>
      </c>
      <c r="W17" s="14">
        <v>156125</v>
      </c>
      <c r="X17" s="14">
        <v>866605</v>
      </c>
    </row>
    <row r="18" spans="1:32" x14ac:dyDescent="0.2">
      <c r="A18" s="9" t="s">
        <v>200</v>
      </c>
      <c r="B18" s="11" t="s">
        <v>222</v>
      </c>
      <c r="C18" s="11" t="s">
        <v>222</v>
      </c>
      <c r="D18" s="13" t="s">
        <v>222</v>
      </c>
      <c r="E18" s="13" t="s">
        <v>222</v>
      </c>
      <c r="F18" s="12" t="s">
        <v>222</v>
      </c>
      <c r="G18" s="13" t="s">
        <v>222</v>
      </c>
      <c r="H18" s="13" t="s">
        <v>222</v>
      </c>
      <c r="I18" s="13" t="s">
        <v>222</v>
      </c>
      <c r="J18" s="11" t="s">
        <v>222</v>
      </c>
      <c r="K18" s="11" t="s">
        <v>222</v>
      </c>
      <c r="L18" s="11" t="s">
        <v>222</v>
      </c>
      <c r="M18" s="11" t="s">
        <v>222</v>
      </c>
      <c r="N18" s="11" t="s">
        <v>222</v>
      </c>
      <c r="O18" s="22" t="s">
        <v>264</v>
      </c>
      <c r="P18" s="20"/>
      <c r="S18" s="14">
        <v>931719</v>
      </c>
      <c r="T18" s="14">
        <v>889401</v>
      </c>
      <c r="U18" s="100">
        <v>603234</v>
      </c>
      <c r="V18" s="14">
        <v>522808</v>
      </c>
      <c r="W18" s="14">
        <v>2114029</v>
      </c>
      <c r="X18" s="14">
        <v>2245446</v>
      </c>
    </row>
    <row r="19" spans="1:32" x14ac:dyDescent="0.2">
      <c r="A19" s="9" t="s">
        <v>75</v>
      </c>
      <c r="B19" s="11">
        <v>-81165</v>
      </c>
      <c r="C19" s="11">
        <v>-151478</v>
      </c>
      <c r="D19" s="11">
        <v>-68345</v>
      </c>
      <c r="E19" s="11">
        <v>-83611</v>
      </c>
      <c r="F19" s="13">
        <v>-886122</v>
      </c>
      <c r="G19" s="13">
        <v>-465145</v>
      </c>
      <c r="H19" s="12">
        <v>-926858</v>
      </c>
      <c r="I19" s="13">
        <v>-1695600</v>
      </c>
      <c r="J19" s="13">
        <v>-220385</v>
      </c>
      <c r="K19" s="13">
        <v>-270442</v>
      </c>
      <c r="L19" s="11">
        <v>-154089</v>
      </c>
      <c r="M19" s="11">
        <v>-21317</v>
      </c>
      <c r="N19" s="11" t="s">
        <v>222</v>
      </c>
      <c r="O19" s="44" t="s">
        <v>263</v>
      </c>
      <c r="P19" s="20"/>
      <c r="S19" s="84"/>
      <c r="T19" s="84"/>
      <c r="U19" s="84"/>
      <c r="V19" s="84"/>
      <c r="W19" s="84"/>
      <c r="X19" s="84"/>
    </row>
    <row r="20" spans="1:32" x14ac:dyDescent="0.2">
      <c r="A20" s="9" t="s">
        <v>81</v>
      </c>
      <c r="B20" s="11" t="s">
        <v>222</v>
      </c>
      <c r="C20" s="11" t="s">
        <v>222</v>
      </c>
      <c r="D20" s="11" t="s">
        <v>222</v>
      </c>
      <c r="E20" s="11" t="s">
        <v>222</v>
      </c>
      <c r="F20" s="13" t="s">
        <v>222</v>
      </c>
      <c r="G20" s="13" t="s">
        <v>222</v>
      </c>
      <c r="H20" s="12" t="s">
        <v>222</v>
      </c>
      <c r="I20" s="13">
        <v>-217435</v>
      </c>
      <c r="J20" s="13">
        <v>-907520</v>
      </c>
      <c r="K20" s="13">
        <v>-710188</v>
      </c>
      <c r="L20" s="11">
        <v>-2827778</v>
      </c>
      <c r="M20" s="11">
        <v>-21591040</v>
      </c>
      <c r="N20" s="11" t="s">
        <v>222</v>
      </c>
      <c r="O20" s="43" t="s">
        <v>264</v>
      </c>
      <c r="P20" s="20"/>
    </row>
    <row r="21" spans="1:32" x14ac:dyDescent="0.2">
      <c r="A21" s="9" t="s">
        <v>85</v>
      </c>
      <c r="B21" s="11">
        <v>-559884</v>
      </c>
      <c r="C21" s="11">
        <v>-858128</v>
      </c>
      <c r="D21" s="11">
        <v>-466806</v>
      </c>
      <c r="E21" s="11">
        <v>-299209</v>
      </c>
      <c r="F21" s="13">
        <v>-615976</v>
      </c>
      <c r="G21" s="13">
        <v>-565719</v>
      </c>
      <c r="H21" s="12">
        <v>-155711</v>
      </c>
      <c r="I21" s="13">
        <v>-115629</v>
      </c>
      <c r="J21" s="13">
        <v>-317090</v>
      </c>
      <c r="K21" s="13">
        <v>-951104</v>
      </c>
      <c r="L21" s="11">
        <v>-306655</v>
      </c>
      <c r="M21" s="11">
        <v>-1000400</v>
      </c>
      <c r="N21" s="11">
        <v>-819474</v>
      </c>
      <c r="O21" s="44" t="s">
        <v>263</v>
      </c>
      <c r="P21" s="20"/>
    </row>
    <row r="22" spans="1:32" x14ac:dyDescent="0.2">
      <c r="A22" s="9" t="s">
        <v>100</v>
      </c>
      <c r="B22" s="11" t="s">
        <v>222</v>
      </c>
      <c r="C22" s="11" t="s">
        <v>222</v>
      </c>
      <c r="D22" s="11" t="s">
        <v>222</v>
      </c>
      <c r="E22" s="11" t="s">
        <v>222</v>
      </c>
      <c r="F22" s="13" t="s">
        <v>222</v>
      </c>
      <c r="G22" s="13" t="s">
        <v>222</v>
      </c>
      <c r="H22" s="12" t="s">
        <v>222</v>
      </c>
      <c r="I22" s="13" t="s">
        <v>222</v>
      </c>
      <c r="J22" s="13" t="s">
        <v>222</v>
      </c>
      <c r="K22" s="13" t="s">
        <v>222</v>
      </c>
      <c r="L22" s="11" t="s">
        <v>222</v>
      </c>
      <c r="M22" s="11" t="s">
        <v>222</v>
      </c>
      <c r="N22" s="11" t="s">
        <v>222</v>
      </c>
      <c r="O22" s="22" t="s">
        <v>264</v>
      </c>
      <c r="P22" s="20"/>
    </row>
    <row r="23" spans="1:32" x14ac:dyDescent="0.2">
      <c r="A23" s="9" t="s">
        <v>95</v>
      </c>
      <c r="B23" s="11" t="s">
        <v>222</v>
      </c>
      <c r="C23" s="11" t="s">
        <v>222</v>
      </c>
      <c r="D23" s="11" t="s">
        <v>222</v>
      </c>
      <c r="E23" s="11" t="s">
        <v>222</v>
      </c>
      <c r="F23" s="13" t="s">
        <v>222</v>
      </c>
      <c r="G23" s="13" t="s">
        <v>222</v>
      </c>
      <c r="H23" s="12">
        <v>-605614</v>
      </c>
      <c r="I23" s="13">
        <v>-408265</v>
      </c>
      <c r="J23" s="13">
        <v>-1583552</v>
      </c>
      <c r="K23" s="13">
        <v>-7937831</v>
      </c>
      <c r="L23" s="11">
        <v>-4554152</v>
      </c>
      <c r="M23" s="11">
        <v>-5768347</v>
      </c>
      <c r="N23" s="11" t="s">
        <v>222</v>
      </c>
      <c r="O23" s="22" t="s">
        <v>264</v>
      </c>
      <c r="P23" s="20"/>
    </row>
    <row r="24" spans="1:32" x14ac:dyDescent="0.2">
      <c r="A24" s="9" t="s">
        <v>104</v>
      </c>
      <c r="B24" s="11" t="s">
        <v>222</v>
      </c>
      <c r="C24" s="11">
        <v>-448193</v>
      </c>
      <c r="D24" s="11">
        <v>-446004</v>
      </c>
      <c r="E24" s="11">
        <v>-412864</v>
      </c>
      <c r="F24" s="13">
        <v>-694254</v>
      </c>
      <c r="G24" s="13">
        <v>-1859123</v>
      </c>
      <c r="H24" s="12">
        <v>-3752044</v>
      </c>
      <c r="I24" s="13">
        <v>-2564153</v>
      </c>
      <c r="J24" s="13">
        <v>-2298728</v>
      </c>
      <c r="K24" s="13">
        <v>-5089609</v>
      </c>
      <c r="L24" s="11">
        <v>-6486869</v>
      </c>
      <c r="M24" s="11">
        <v>-6399059</v>
      </c>
      <c r="N24" s="11">
        <v>-3086890</v>
      </c>
      <c r="O24" s="44" t="s">
        <v>263</v>
      </c>
      <c r="P24" s="20"/>
    </row>
    <row r="25" spans="1:32" x14ac:dyDescent="0.2">
      <c r="A25" s="9" t="s">
        <v>110</v>
      </c>
      <c r="B25" s="11">
        <v>-2659</v>
      </c>
      <c r="C25" s="11">
        <v>-267955</v>
      </c>
      <c r="D25" s="11">
        <v>-13871</v>
      </c>
      <c r="E25" s="11" t="s">
        <v>222</v>
      </c>
      <c r="F25" s="13" t="s">
        <v>222</v>
      </c>
      <c r="G25" s="13" t="s">
        <v>222</v>
      </c>
      <c r="H25" s="12" t="s">
        <v>222</v>
      </c>
      <c r="I25" s="13" t="s">
        <v>222</v>
      </c>
      <c r="J25" s="13" t="s">
        <v>222</v>
      </c>
      <c r="K25" s="13" t="s">
        <v>222</v>
      </c>
      <c r="L25" s="11">
        <v>-201738</v>
      </c>
      <c r="M25" s="11">
        <v>-367817</v>
      </c>
      <c r="N25" s="11">
        <v>-27761</v>
      </c>
      <c r="O25" s="22" t="s">
        <v>264</v>
      </c>
      <c r="P25" s="20"/>
    </row>
    <row r="26" spans="1:32" x14ac:dyDescent="0.2">
      <c r="A26" s="9" t="s">
        <v>119</v>
      </c>
      <c r="B26" s="11">
        <v>-15756</v>
      </c>
      <c r="C26" s="11">
        <v>-2017</v>
      </c>
      <c r="D26" s="11">
        <v>-929301</v>
      </c>
      <c r="E26" s="11" t="s">
        <v>222</v>
      </c>
      <c r="F26" s="13" t="s">
        <v>222</v>
      </c>
      <c r="G26" s="13" t="s">
        <v>222</v>
      </c>
      <c r="H26" s="12" t="s">
        <v>222</v>
      </c>
      <c r="I26" s="13" t="s">
        <v>222</v>
      </c>
      <c r="J26" s="13" t="s">
        <v>222</v>
      </c>
      <c r="K26" s="13">
        <v>-3641942</v>
      </c>
      <c r="L26" s="11">
        <v>-900568</v>
      </c>
      <c r="M26" s="11">
        <v>-1346395</v>
      </c>
      <c r="N26" s="11">
        <v>-1398765</v>
      </c>
      <c r="O26" s="22" t="s">
        <v>264</v>
      </c>
      <c r="P26" s="20"/>
    </row>
    <row r="27" spans="1:32" x14ac:dyDescent="0.2">
      <c r="A27" s="9" t="s">
        <v>115</v>
      </c>
      <c r="B27" t="s">
        <v>222</v>
      </c>
      <c r="C27" t="s">
        <v>222</v>
      </c>
      <c r="D27" t="s">
        <v>222</v>
      </c>
      <c r="E27" t="s">
        <v>222</v>
      </c>
      <c r="F27" s="14" t="s">
        <v>222</v>
      </c>
      <c r="G27" s="13" t="s">
        <v>222</v>
      </c>
      <c r="H27" s="12" t="s">
        <v>222</v>
      </c>
      <c r="I27" s="13" t="s">
        <v>222</v>
      </c>
      <c r="J27" s="13" t="s">
        <v>222</v>
      </c>
      <c r="K27" s="13" t="s">
        <v>222</v>
      </c>
      <c r="L27" s="11" t="s">
        <v>222</v>
      </c>
      <c r="M27" s="11" t="s">
        <v>222</v>
      </c>
      <c r="N27" s="11" t="s">
        <v>222</v>
      </c>
      <c r="O27" s="22" t="s">
        <v>264</v>
      </c>
      <c r="P27" s="20"/>
    </row>
    <row r="28" spans="1:32" x14ac:dyDescent="0.2">
      <c r="A28" s="9" t="s">
        <v>91</v>
      </c>
      <c r="B28" s="11">
        <v>-1405376</v>
      </c>
      <c r="C28" s="11">
        <v>-2754322</v>
      </c>
      <c r="D28" s="11">
        <v>-4765085</v>
      </c>
      <c r="E28" s="11">
        <v>-1351776</v>
      </c>
      <c r="F28" s="11">
        <v>-506149</v>
      </c>
      <c r="G28" s="13">
        <v>-9256829</v>
      </c>
      <c r="H28" s="13">
        <v>-6279069</v>
      </c>
      <c r="I28" s="12">
        <v>-11154747</v>
      </c>
      <c r="J28" s="13">
        <v>-4581057</v>
      </c>
      <c r="K28" s="13">
        <v>-19957951</v>
      </c>
      <c r="L28" s="13">
        <v>-28721635</v>
      </c>
      <c r="M28" s="11">
        <v>-36286841</v>
      </c>
      <c r="N28" s="11" t="s">
        <v>222</v>
      </c>
      <c r="O28" s="44" t="s">
        <v>263</v>
      </c>
      <c r="P28" s="20"/>
    </row>
    <row r="29" spans="1:32" x14ac:dyDescent="0.2">
      <c r="A29" s="9" t="s">
        <v>47</v>
      </c>
      <c r="B29" s="11">
        <v>0</v>
      </c>
      <c r="C29" s="11">
        <v>0</v>
      </c>
      <c r="D29" s="11">
        <v>-16462</v>
      </c>
      <c r="E29" s="11">
        <v>-39565</v>
      </c>
      <c r="F29" s="11" t="s">
        <v>222</v>
      </c>
      <c r="G29" s="13" t="s">
        <v>222</v>
      </c>
      <c r="H29" s="13" t="s">
        <v>222</v>
      </c>
      <c r="I29" s="12">
        <v>-49774</v>
      </c>
      <c r="J29" s="13">
        <v>-151985</v>
      </c>
      <c r="K29" s="13">
        <v>-108831</v>
      </c>
      <c r="L29" s="13">
        <v>-409519</v>
      </c>
      <c r="M29" s="11">
        <v>-230601</v>
      </c>
      <c r="N29" s="11">
        <v>-428126</v>
      </c>
      <c r="O29" s="22" t="s">
        <v>264</v>
      </c>
      <c r="P29" s="20"/>
      <c r="AA29" t="s">
        <v>333</v>
      </c>
      <c r="AB29" t="s">
        <v>332</v>
      </c>
      <c r="AC29" t="s">
        <v>331</v>
      </c>
      <c r="AD29" t="s">
        <v>334</v>
      </c>
      <c r="AE29" t="s">
        <v>335</v>
      </c>
      <c r="AF29" t="s">
        <v>336</v>
      </c>
    </row>
    <row r="30" spans="1:32" x14ac:dyDescent="0.2">
      <c r="A30" s="9" t="s">
        <v>52</v>
      </c>
      <c r="B30" s="11" t="s">
        <v>222</v>
      </c>
      <c r="C30" s="11" t="s">
        <v>222</v>
      </c>
      <c r="D30" s="11" t="s">
        <v>222</v>
      </c>
      <c r="E30" s="11" t="s">
        <v>222</v>
      </c>
      <c r="F30" s="11" t="s">
        <v>222</v>
      </c>
      <c r="G30" s="13" t="s">
        <v>222</v>
      </c>
      <c r="H30" s="13" t="s">
        <v>222</v>
      </c>
      <c r="I30" s="12" t="s">
        <v>222</v>
      </c>
      <c r="J30" s="13" t="s">
        <v>222</v>
      </c>
      <c r="K30" s="13" t="s">
        <v>222</v>
      </c>
      <c r="L30" s="13" t="s">
        <v>222</v>
      </c>
      <c r="M30" s="11" t="s">
        <v>222</v>
      </c>
      <c r="N30" s="11" t="s">
        <v>222</v>
      </c>
      <c r="O30" s="22" t="s">
        <v>264</v>
      </c>
      <c r="P30" s="20"/>
      <c r="Z30" s="50" t="s">
        <v>360</v>
      </c>
      <c r="AA30">
        <f>SUM(S7:S18)</f>
        <v>25752009</v>
      </c>
      <c r="AB30">
        <f t="shared" ref="AB30:AF30" si="1">SUM(T7:T18)</f>
        <v>19292789</v>
      </c>
      <c r="AC30">
        <f>SUM(U7:U18)</f>
        <v>28299557</v>
      </c>
      <c r="AD30">
        <f>SUM(V7:V18)</f>
        <v>20249498</v>
      </c>
      <c r="AE30">
        <f t="shared" si="1"/>
        <v>34630386</v>
      </c>
      <c r="AF30">
        <f t="shared" si="1"/>
        <v>55323518</v>
      </c>
    </row>
    <row r="31" spans="1:32" x14ac:dyDescent="0.2">
      <c r="A31" s="9" t="s">
        <v>58</v>
      </c>
      <c r="B31" s="11" t="s">
        <v>222</v>
      </c>
      <c r="C31" s="11">
        <v>-29131</v>
      </c>
      <c r="D31" s="11">
        <v>-287231</v>
      </c>
      <c r="E31" s="11">
        <v>-65014</v>
      </c>
      <c r="F31" s="11">
        <v>-55968</v>
      </c>
      <c r="G31" s="13">
        <v>-36500</v>
      </c>
      <c r="H31" s="13">
        <v>-77762</v>
      </c>
      <c r="I31" s="12">
        <v>-410425</v>
      </c>
      <c r="J31" s="13">
        <v>-214614</v>
      </c>
      <c r="K31" s="13">
        <v>-284027</v>
      </c>
      <c r="L31" s="13">
        <v>-118466</v>
      </c>
      <c r="M31" s="11">
        <v>-238123</v>
      </c>
      <c r="N31" s="11">
        <v>-118912</v>
      </c>
      <c r="O31" s="44" t="s">
        <v>263</v>
      </c>
      <c r="P31" s="20"/>
      <c r="Z31" s="50" t="s">
        <v>361</v>
      </c>
      <c r="AA31">
        <f>SUM(S43:S53)</f>
        <v>14957102</v>
      </c>
      <c r="AB31">
        <f t="shared" ref="AB31:AF31" si="2">SUM(T43:T53)</f>
        <v>16395041</v>
      </c>
      <c r="AC31">
        <f t="shared" si="2"/>
        <v>15613353</v>
      </c>
      <c r="AD31">
        <f t="shared" si="2"/>
        <v>28496274</v>
      </c>
      <c r="AE31">
        <f t="shared" si="2"/>
        <v>37975733</v>
      </c>
      <c r="AF31">
        <f t="shared" si="2"/>
        <v>57077729</v>
      </c>
    </row>
    <row r="32" spans="1:32" x14ac:dyDescent="0.2">
      <c r="A32" s="9" t="s">
        <v>26</v>
      </c>
      <c r="B32" s="11" t="s">
        <v>222</v>
      </c>
      <c r="C32" s="11" t="s">
        <v>222</v>
      </c>
      <c r="D32" s="11" t="s">
        <v>222</v>
      </c>
      <c r="E32" s="11" t="s">
        <v>222</v>
      </c>
      <c r="F32" s="11" t="s">
        <v>222</v>
      </c>
      <c r="G32" s="13" t="s">
        <v>222</v>
      </c>
      <c r="H32" s="13" t="s">
        <v>222</v>
      </c>
      <c r="I32" s="12" t="s">
        <v>222</v>
      </c>
      <c r="J32" s="13" t="s">
        <v>222</v>
      </c>
      <c r="K32" s="13" t="s">
        <v>222</v>
      </c>
      <c r="L32" s="13" t="s">
        <v>222</v>
      </c>
      <c r="M32" s="11" t="s">
        <v>222</v>
      </c>
      <c r="N32" s="11" t="s">
        <v>222</v>
      </c>
      <c r="O32" s="43" t="s">
        <v>264</v>
      </c>
      <c r="P32" s="20"/>
      <c r="Z32" s="50" t="s">
        <v>355</v>
      </c>
      <c r="AA32" s="86"/>
      <c r="AB32" s="86"/>
      <c r="AD32" s="85">
        <f>(AD30-$AC$30)/$AC$30</f>
        <v>-0.28445883446161363</v>
      </c>
      <c r="AE32" s="85">
        <f>(AE30-$AC$30)/$AC$30</f>
        <v>0.22370770680261887</v>
      </c>
      <c r="AF32" s="85">
        <f>(AF30-$AC$30)/$AC$30</f>
        <v>0.95492523080838332</v>
      </c>
    </row>
    <row r="33" spans="1:32" x14ac:dyDescent="0.2">
      <c r="A33" s="9" t="s">
        <v>69</v>
      </c>
      <c r="B33" s="11">
        <v>-283456</v>
      </c>
      <c r="C33" s="11">
        <v>-2455264</v>
      </c>
      <c r="D33" s="11">
        <v>-453463</v>
      </c>
      <c r="E33" s="11">
        <v>-135721</v>
      </c>
      <c r="F33" s="11">
        <v>-252518</v>
      </c>
      <c r="G33" s="13">
        <v>-384671</v>
      </c>
      <c r="H33" s="13">
        <v>-796205</v>
      </c>
      <c r="I33" s="12">
        <v>-2311256</v>
      </c>
      <c r="J33" s="13">
        <v>-1205432</v>
      </c>
      <c r="K33" s="13">
        <v>-156125</v>
      </c>
      <c r="L33" s="13">
        <v>-866605</v>
      </c>
      <c r="M33" s="11">
        <v>-1097993</v>
      </c>
      <c r="N33" s="11">
        <v>-2258310</v>
      </c>
      <c r="O33" s="44" t="s">
        <v>263</v>
      </c>
      <c r="P33" s="20"/>
      <c r="Z33" s="50" t="s">
        <v>356</v>
      </c>
      <c r="AD33" s="85">
        <f>(AD31-$AC$31)/$AC$31</f>
        <v>0.82512199653719476</v>
      </c>
      <c r="AE33" s="85">
        <f>(AE31-$AC$31)/$AC$31</f>
        <v>1.4322599380158765</v>
      </c>
      <c r="AF33" s="85">
        <f>(AF31-$AC$31)/$AC$31</f>
        <v>2.6556996437600557</v>
      </c>
    </row>
    <row r="34" spans="1:32" x14ac:dyDescent="0.2">
      <c r="A34" s="9" t="s">
        <v>39</v>
      </c>
      <c r="B34" s="11" t="s">
        <v>260</v>
      </c>
      <c r="C34" s="11" t="s">
        <v>260</v>
      </c>
      <c r="D34" s="11" t="s">
        <v>260</v>
      </c>
      <c r="E34" s="11" t="s">
        <v>260</v>
      </c>
      <c r="F34" s="11" t="s">
        <v>260</v>
      </c>
      <c r="G34" s="13" t="s">
        <v>260</v>
      </c>
      <c r="H34" s="13" t="s">
        <v>222</v>
      </c>
      <c r="I34" s="12" t="s">
        <v>222</v>
      </c>
      <c r="J34" s="13" t="s">
        <v>222</v>
      </c>
      <c r="K34" s="13" t="s">
        <v>222</v>
      </c>
      <c r="L34" s="13" t="s">
        <v>222</v>
      </c>
      <c r="M34" s="11" t="s">
        <v>222</v>
      </c>
      <c r="N34" s="11" t="s">
        <v>222</v>
      </c>
      <c r="O34" s="43" t="s">
        <v>264</v>
      </c>
      <c r="P34" s="20"/>
      <c r="Z34" s="50" t="s">
        <v>357</v>
      </c>
      <c r="AD34" s="86">
        <f>AD32-AD33</f>
        <v>-1.1095808309988084</v>
      </c>
      <c r="AE34" s="86">
        <f>AE33-AE32</f>
        <v>1.2085522312132575</v>
      </c>
      <c r="AF34" s="86">
        <f>AF32-AF33</f>
        <v>-1.7007744129516724</v>
      </c>
    </row>
    <row r="35" spans="1:32" ht="16" thickBot="1" x14ac:dyDescent="0.25">
      <c r="A35" s="10" t="s">
        <v>63</v>
      </c>
      <c r="B35" s="11">
        <v>-159830</v>
      </c>
      <c r="C35" s="11">
        <v>-567928</v>
      </c>
      <c r="D35" s="11">
        <v>-398430</v>
      </c>
      <c r="E35" s="11">
        <v>-1036000</v>
      </c>
      <c r="F35" s="11">
        <v>-142797</v>
      </c>
      <c r="G35" s="11">
        <v>-505705</v>
      </c>
      <c r="H35" s="13">
        <v>-931719</v>
      </c>
      <c r="I35" s="13">
        <v>-889401</v>
      </c>
      <c r="J35" s="12">
        <v>-603234</v>
      </c>
      <c r="K35" s="13">
        <v>-522808</v>
      </c>
      <c r="L35" s="13">
        <v>-2114029</v>
      </c>
      <c r="M35" s="13">
        <v>-2245446</v>
      </c>
      <c r="N35" s="11" t="s">
        <v>222</v>
      </c>
      <c r="O35" s="44" t="s">
        <v>263</v>
      </c>
      <c r="P35" s="20"/>
      <c r="Z35" s="50" t="s">
        <v>359</v>
      </c>
      <c r="AC35">
        <v>28299557</v>
      </c>
      <c r="AD35">
        <f>$AC$30+$AC$30*AD33</f>
        <v>51650143.972958148</v>
      </c>
      <c r="AE35">
        <f>$AC$30+$AC$30*AE33</f>
        <v>68831878.754696757</v>
      </c>
      <c r="AF35">
        <f>$AC$30+$AC$30*AF33</f>
        <v>103454680.44346739</v>
      </c>
    </row>
    <row r="37" spans="1:32" x14ac:dyDescent="0.2">
      <c r="N37" s="26" t="s">
        <v>273</v>
      </c>
      <c r="O37" s="29">
        <f>COUNTIF(O2:O35,"yes")</f>
        <v>13</v>
      </c>
    </row>
    <row r="38" spans="1:32" ht="16" thickBot="1" x14ac:dyDescent="0.25"/>
    <row r="39" spans="1:32" ht="16" thickBot="1" x14ac:dyDescent="0.25">
      <c r="B39" s="2">
        <v>2013</v>
      </c>
      <c r="C39" s="3">
        <f>B39+1</f>
        <v>2014</v>
      </c>
      <c r="D39" s="3">
        <f t="shared" ref="D39:N39" si="3">C39+1</f>
        <v>2015</v>
      </c>
      <c r="E39" s="3">
        <f t="shared" si="3"/>
        <v>2016</v>
      </c>
      <c r="F39" s="3">
        <f t="shared" si="3"/>
        <v>2017</v>
      </c>
      <c r="G39" s="3">
        <f t="shared" si="3"/>
        <v>2018</v>
      </c>
      <c r="H39" s="3">
        <f t="shared" si="3"/>
        <v>2019</v>
      </c>
      <c r="I39" s="3">
        <f t="shared" si="3"/>
        <v>2020</v>
      </c>
      <c r="J39" s="3">
        <f t="shared" si="3"/>
        <v>2021</v>
      </c>
      <c r="K39" s="3">
        <f t="shared" si="3"/>
        <v>2022</v>
      </c>
      <c r="L39" s="3">
        <f t="shared" si="3"/>
        <v>2023</v>
      </c>
      <c r="M39" s="3">
        <f t="shared" si="3"/>
        <v>2024</v>
      </c>
      <c r="N39" s="3">
        <f t="shared" si="3"/>
        <v>2025</v>
      </c>
      <c r="O39" s="24"/>
      <c r="P39" s="24"/>
    </row>
    <row r="40" spans="1:32" x14ac:dyDescent="0.2">
      <c r="A40" s="5" t="s">
        <v>297</v>
      </c>
      <c r="B40" s="11"/>
      <c r="C40" s="13">
        <v>-271472</v>
      </c>
      <c r="D40" s="13">
        <v>-61946</v>
      </c>
      <c r="E40" s="12">
        <v>-117407</v>
      </c>
      <c r="F40" s="13">
        <v>-117481</v>
      </c>
      <c r="G40" s="13">
        <v>-89507</v>
      </c>
      <c r="H40" s="13">
        <v>-50808</v>
      </c>
      <c r="I40" s="11"/>
      <c r="J40" s="11"/>
      <c r="K40" s="11"/>
      <c r="L40" s="11"/>
      <c r="M40" s="11"/>
      <c r="N40" s="11"/>
      <c r="O40" s="23"/>
      <c r="P40" s="23"/>
    </row>
    <row r="41" spans="1:32" x14ac:dyDescent="0.2">
      <c r="A41" s="9"/>
      <c r="B41" s="11"/>
      <c r="C41" s="13"/>
      <c r="D41" s="13"/>
      <c r="E41" s="12"/>
      <c r="F41" s="13"/>
      <c r="G41" s="13"/>
      <c r="H41" s="13"/>
      <c r="I41" s="11"/>
      <c r="J41" s="11"/>
      <c r="K41" s="11"/>
      <c r="L41" s="11"/>
      <c r="M41" s="11"/>
      <c r="N41" s="11"/>
      <c r="O41" s="20"/>
      <c r="P41" s="20"/>
    </row>
    <row r="42" spans="1:32" ht="16" thickBot="1" x14ac:dyDescent="0.25">
      <c r="A42" s="9"/>
      <c r="B42" s="11"/>
      <c r="C42" s="13"/>
      <c r="D42" s="13"/>
      <c r="E42" s="12"/>
      <c r="F42" s="13"/>
      <c r="G42" s="13"/>
      <c r="H42" s="13"/>
      <c r="I42" s="11"/>
      <c r="J42" s="11"/>
      <c r="K42" s="11"/>
      <c r="L42" s="11"/>
      <c r="M42" s="11"/>
      <c r="N42" s="11"/>
      <c r="O42" s="21"/>
      <c r="P42" s="20"/>
      <c r="S42" s="24" t="s">
        <v>333</v>
      </c>
      <c r="T42" s="24" t="s">
        <v>332</v>
      </c>
      <c r="U42" s="24" t="s">
        <v>331</v>
      </c>
      <c r="V42" s="24" t="s">
        <v>334</v>
      </c>
      <c r="W42" s="24" t="s">
        <v>335</v>
      </c>
      <c r="X42" s="24" t="s">
        <v>336</v>
      </c>
    </row>
    <row r="43" spans="1:32" x14ac:dyDescent="0.2">
      <c r="A43" s="9" t="s">
        <v>298</v>
      </c>
      <c r="B43" s="11"/>
      <c r="C43" s="13">
        <v>-5693692</v>
      </c>
      <c r="D43" s="13">
        <v>-1418863</v>
      </c>
      <c r="E43" s="12">
        <v>-1839087</v>
      </c>
      <c r="F43" s="13">
        <v>-4392493</v>
      </c>
      <c r="G43" s="13">
        <v>-1859065</v>
      </c>
      <c r="H43" s="13">
        <v>-795996</v>
      </c>
      <c r="I43" s="11"/>
      <c r="J43" s="11"/>
      <c r="K43" s="11"/>
      <c r="L43" s="11"/>
      <c r="M43" s="11"/>
      <c r="N43" s="11"/>
      <c r="O43" s="20"/>
      <c r="P43" s="20"/>
      <c r="S43" s="14">
        <v>271472</v>
      </c>
      <c r="T43" s="14">
        <v>61946</v>
      </c>
      <c r="U43" s="100">
        <v>117407</v>
      </c>
      <c r="V43" s="14">
        <v>117481</v>
      </c>
      <c r="W43" s="14">
        <v>89507</v>
      </c>
      <c r="X43" s="14">
        <v>50808</v>
      </c>
    </row>
    <row r="44" spans="1:32" x14ac:dyDescent="0.2">
      <c r="A44" s="9"/>
      <c r="B44" s="11"/>
      <c r="C44" s="13"/>
      <c r="D44" s="13"/>
      <c r="E44" s="12"/>
      <c r="F44" s="13"/>
      <c r="G44" s="13"/>
      <c r="H44" s="13"/>
      <c r="I44" s="11"/>
      <c r="J44" s="11"/>
      <c r="K44" s="11"/>
      <c r="L44" s="11"/>
      <c r="M44" s="11"/>
      <c r="N44" s="11"/>
      <c r="O44" s="20"/>
      <c r="P44" s="20"/>
      <c r="S44" s="14">
        <v>5693692</v>
      </c>
      <c r="T44" s="14">
        <v>1418863</v>
      </c>
      <c r="U44" s="100">
        <v>1839087</v>
      </c>
      <c r="V44" s="14">
        <v>4392493</v>
      </c>
      <c r="W44" s="14">
        <v>1859065</v>
      </c>
      <c r="X44" s="14">
        <v>795996</v>
      </c>
    </row>
    <row r="45" spans="1:32" x14ac:dyDescent="0.2">
      <c r="A45" s="9"/>
      <c r="B45" s="11"/>
      <c r="C45" s="13"/>
      <c r="D45" s="13"/>
      <c r="E45" s="12"/>
      <c r="F45" s="13"/>
      <c r="G45" s="15"/>
      <c r="H45" s="13"/>
      <c r="I45" s="11"/>
      <c r="J45" s="11"/>
      <c r="K45" s="11"/>
      <c r="L45" s="11"/>
      <c r="M45" s="11"/>
      <c r="N45" s="11"/>
      <c r="O45" s="21"/>
      <c r="P45" s="20"/>
      <c r="S45" s="14">
        <v>262073</v>
      </c>
      <c r="T45" s="14">
        <v>785129</v>
      </c>
      <c r="U45" s="100">
        <v>326772</v>
      </c>
      <c r="V45" s="14">
        <v>165155</v>
      </c>
      <c r="W45" s="14">
        <v>100511</v>
      </c>
      <c r="X45" s="14">
        <v>318437</v>
      </c>
    </row>
    <row r="46" spans="1:32" x14ac:dyDescent="0.2">
      <c r="A46" s="9"/>
      <c r="B46" s="11"/>
      <c r="C46" s="13"/>
      <c r="D46" s="13"/>
      <c r="E46" s="12"/>
      <c r="F46" s="13"/>
      <c r="G46" s="13"/>
      <c r="H46" s="13"/>
      <c r="I46" s="11"/>
      <c r="J46" s="11"/>
      <c r="K46" s="11"/>
      <c r="L46" s="11"/>
      <c r="M46" s="11"/>
      <c r="N46" s="11"/>
      <c r="O46" s="21"/>
      <c r="P46" s="20"/>
      <c r="S46" s="14">
        <v>855985</v>
      </c>
      <c r="T46" s="14">
        <v>166093</v>
      </c>
      <c r="U46" s="100">
        <v>236859</v>
      </c>
      <c r="V46" s="14">
        <v>278814</v>
      </c>
      <c r="W46" s="14">
        <v>246954</v>
      </c>
      <c r="X46" s="14">
        <v>303079</v>
      </c>
    </row>
    <row r="47" spans="1:32" x14ac:dyDescent="0.2">
      <c r="A47" s="9"/>
      <c r="B47" s="11"/>
      <c r="C47" s="13"/>
      <c r="D47" s="13"/>
      <c r="E47" s="12"/>
      <c r="F47" s="13"/>
      <c r="G47" s="13"/>
      <c r="H47" s="13"/>
      <c r="I47" s="11"/>
      <c r="J47" s="11"/>
      <c r="K47" s="11"/>
      <c r="L47" s="11"/>
      <c r="M47" s="11"/>
      <c r="N47" s="11"/>
      <c r="O47" s="20"/>
      <c r="P47" s="20"/>
      <c r="S47" s="14">
        <v>2750614</v>
      </c>
      <c r="T47" s="14">
        <v>3835203</v>
      </c>
      <c r="U47" s="100">
        <v>7576674</v>
      </c>
      <c r="V47" s="14">
        <v>8490818</v>
      </c>
      <c r="W47" s="14">
        <v>5727820</v>
      </c>
      <c r="X47" s="14">
        <v>6131561</v>
      </c>
    </row>
    <row r="48" spans="1:32" x14ac:dyDescent="0.2">
      <c r="A48" s="49"/>
      <c r="B48" s="11"/>
      <c r="C48" s="13"/>
      <c r="D48" s="13"/>
      <c r="E48" s="12"/>
      <c r="F48" s="13"/>
      <c r="G48" s="13"/>
      <c r="H48" s="13"/>
      <c r="I48" s="11"/>
      <c r="J48" s="11"/>
      <c r="K48" s="11"/>
      <c r="L48" s="11"/>
      <c r="M48" s="11"/>
      <c r="N48" s="11"/>
      <c r="O48" s="49"/>
      <c r="P48" s="20" t="s">
        <v>346</v>
      </c>
      <c r="S48" s="14">
        <v>505948</v>
      </c>
      <c r="T48" s="14">
        <v>160241</v>
      </c>
      <c r="U48" s="100">
        <v>139983</v>
      </c>
      <c r="V48" s="14">
        <v>547913</v>
      </c>
      <c r="W48" s="14">
        <v>213245</v>
      </c>
      <c r="X48" s="14">
        <v>780536</v>
      </c>
    </row>
    <row r="49" spans="1:24" x14ac:dyDescent="0.2">
      <c r="A49" s="9"/>
      <c r="B49" s="11"/>
      <c r="C49" s="13"/>
      <c r="D49" s="13"/>
      <c r="E49" s="12"/>
      <c r="F49" s="13"/>
      <c r="G49" s="13"/>
      <c r="H49" s="13"/>
      <c r="I49" s="11"/>
      <c r="J49" s="11"/>
      <c r="K49" s="11"/>
      <c r="L49" s="11"/>
      <c r="M49" s="11"/>
      <c r="N49" s="11"/>
      <c r="O49" s="20"/>
      <c r="P49" s="20"/>
      <c r="S49" s="14">
        <v>442989</v>
      </c>
      <c r="T49" s="14">
        <v>36503</v>
      </c>
      <c r="U49" s="100">
        <v>356782</v>
      </c>
      <c r="V49" s="14">
        <v>239742</v>
      </c>
      <c r="W49" s="14">
        <v>150851</v>
      </c>
      <c r="X49" s="14">
        <v>56286</v>
      </c>
    </row>
    <row r="50" spans="1:24" x14ac:dyDescent="0.2">
      <c r="A50" s="9" t="s">
        <v>301</v>
      </c>
      <c r="B50" s="11"/>
      <c r="C50" s="11"/>
      <c r="D50" s="13">
        <v>-262073</v>
      </c>
      <c r="E50" s="13">
        <v>-785129</v>
      </c>
      <c r="F50" s="12">
        <v>-326772</v>
      </c>
      <c r="G50" s="13">
        <v>-165155</v>
      </c>
      <c r="H50" s="13">
        <v>-100511</v>
      </c>
      <c r="I50" s="13">
        <v>-318437</v>
      </c>
      <c r="J50" s="11"/>
      <c r="K50" s="11"/>
      <c r="L50" s="11"/>
      <c r="M50" s="11"/>
      <c r="N50" s="11"/>
      <c r="O50" s="20"/>
      <c r="P50" s="20"/>
      <c r="S50" s="14">
        <v>15409</v>
      </c>
      <c r="T50" s="14">
        <v>66453</v>
      </c>
      <c r="U50" s="100">
        <v>38531</v>
      </c>
      <c r="V50" s="14">
        <v>121522</v>
      </c>
      <c r="W50" s="14">
        <v>111061</v>
      </c>
      <c r="X50" s="14">
        <v>56039</v>
      </c>
    </row>
    <row r="51" spans="1:24" x14ac:dyDescent="0.2">
      <c r="A51" s="9" t="s">
        <v>303</v>
      </c>
      <c r="B51" s="11"/>
      <c r="C51" s="11"/>
      <c r="D51" s="13">
        <v>-855985</v>
      </c>
      <c r="E51" s="13">
        <v>-166093</v>
      </c>
      <c r="F51" s="12">
        <v>-236859</v>
      </c>
      <c r="G51" s="13">
        <v>-278814</v>
      </c>
      <c r="H51" s="13">
        <v>-246954</v>
      </c>
      <c r="I51" s="13">
        <v>-303079</v>
      </c>
      <c r="J51" s="11"/>
      <c r="K51" s="11"/>
      <c r="L51" s="11"/>
      <c r="M51" s="11"/>
      <c r="N51" s="11"/>
      <c r="O51" s="20"/>
      <c r="P51" s="20"/>
      <c r="S51" s="14">
        <v>3603231</v>
      </c>
      <c r="T51" s="14">
        <v>9019410</v>
      </c>
      <c r="U51" s="100">
        <v>4465839</v>
      </c>
      <c r="V51" s="101">
        <v>12963141</v>
      </c>
      <c r="W51" s="14">
        <v>28255770</v>
      </c>
      <c r="X51" s="14">
        <v>48187890</v>
      </c>
    </row>
    <row r="52" spans="1:24" x14ac:dyDescent="0.2">
      <c r="A52" s="9"/>
      <c r="B52" s="11"/>
      <c r="C52" s="11"/>
      <c r="D52" s="13"/>
      <c r="E52" s="13"/>
      <c r="F52" s="12"/>
      <c r="G52" s="13"/>
      <c r="H52" s="13"/>
      <c r="I52" s="13"/>
      <c r="J52" s="11"/>
      <c r="K52" s="11"/>
      <c r="L52" s="11"/>
      <c r="M52" s="11"/>
      <c r="N52" s="11"/>
      <c r="O52" s="20"/>
      <c r="P52" s="20"/>
      <c r="S52" s="14">
        <v>136728</v>
      </c>
      <c r="T52" s="14">
        <v>430781</v>
      </c>
      <c r="U52" s="100">
        <v>3810</v>
      </c>
      <c r="V52" s="14">
        <v>0</v>
      </c>
      <c r="W52" s="14">
        <v>47282</v>
      </c>
      <c r="X52" s="14">
        <v>64348</v>
      </c>
    </row>
    <row r="53" spans="1:24" x14ac:dyDescent="0.2">
      <c r="A53" s="9" t="s">
        <v>306</v>
      </c>
      <c r="B53" s="11"/>
      <c r="C53" s="11"/>
      <c r="D53" s="13">
        <v>-2750614</v>
      </c>
      <c r="E53" s="13">
        <v>-3835203</v>
      </c>
      <c r="F53" s="12">
        <v>-7576674</v>
      </c>
      <c r="G53" s="13">
        <v>-8490818</v>
      </c>
      <c r="H53" s="13">
        <v>-5727820</v>
      </c>
      <c r="I53" s="13">
        <v>-6131561</v>
      </c>
      <c r="J53" s="11"/>
      <c r="K53" s="11"/>
      <c r="L53" s="11"/>
      <c r="M53" s="11"/>
      <c r="N53" s="11"/>
      <c r="O53" s="20"/>
      <c r="P53" s="20"/>
      <c r="S53" s="14">
        <v>418961</v>
      </c>
      <c r="T53" s="14">
        <v>414419</v>
      </c>
      <c r="U53" s="100">
        <v>511609</v>
      </c>
      <c r="V53" s="14">
        <v>1179195</v>
      </c>
      <c r="W53" s="14">
        <v>1173667</v>
      </c>
      <c r="X53" s="14">
        <v>332749</v>
      </c>
    </row>
    <row r="54" spans="1:24" x14ac:dyDescent="0.2">
      <c r="A54" s="9"/>
      <c r="B54" s="11"/>
      <c r="C54" s="11"/>
      <c r="D54" s="13"/>
      <c r="E54" s="13"/>
      <c r="F54" s="12"/>
      <c r="G54" s="13"/>
      <c r="H54" s="13"/>
      <c r="I54" s="13"/>
      <c r="J54" s="11"/>
      <c r="K54" s="11"/>
      <c r="L54" s="11"/>
      <c r="M54" s="11"/>
      <c r="N54" s="11"/>
      <c r="O54" s="20"/>
      <c r="P54" s="20"/>
    </row>
    <row r="55" spans="1:24" x14ac:dyDescent="0.2">
      <c r="A55" s="9"/>
      <c r="B55" s="11"/>
      <c r="C55" s="11"/>
      <c r="D55" s="13"/>
      <c r="E55" s="13"/>
      <c r="F55" s="12"/>
      <c r="G55" s="13"/>
      <c r="H55" s="13"/>
      <c r="I55" s="13"/>
      <c r="J55" s="11"/>
      <c r="K55" s="11"/>
      <c r="L55" s="11"/>
      <c r="M55" s="11"/>
      <c r="N55" s="11"/>
      <c r="O55" s="20"/>
      <c r="P55" s="20"/>
    </row>
    <row r="56" spans="1:24" x14ac:dyDescent="0.2">
      <c r="A56" s="9"/>
      <c r="B56" s="11"/>
      <c r="C56" s="11"/>
      <c r="D56" s="13"/>
      <c r="E56" s="13"/>
      <c r="F56" s="12"/>
      <c r="G56" s="13"/>
      <c r="H56" s="13"/>
      <c r="I56" s="13"/>
      <c r="J56" s="11"/>
      <c r="K56" s="11"/>
      <c r="L56" s="11"/>
      <c r="M56" s="11"/>
      <c r="N56" s="11"/>
      <c r="O56" s="20"/>
      <c r="P56" s="20"/>
    </row>
    <row r="57" spans="1:24" x14ac:dyDescent="0.2">
      <c r="A57" s="50" t="s">
        <v>309</v>
      </c>
      <c r="B57" s="11"/>
      <c r="C57" s="11"/>
      <c r="D57" s="11"/>
      <c r="E57" s="11"/>
      <c r="F57" s="13">
        <v>-505948</v>
      </c>
      <c r="G57" s="13">
        <v>-160241</v>
      </c>
      <c r="H57" s="12">
        <v>-139983</v>
      </c>
      <c r="I57" s="13">
        <v>-547913</v>
      </c>
      <c r="J57" s="13">
        <v>-213245</v>
      </c>
      <c r="K57" s="13">
        <v>-780536</v>
      </c>
      <c r="L57" s="11"/>
      <c r="M57" s="11"/>
      <c r="N57" s="11"/>
      <c r="O57" s="20"/>
      <c r="P57" s="20"/>
    </row>
    <row r="58" spans="1:24" x14ac:dyDescent="0.2">
      <c r="A58" s="9"/>
      <c r="B58" s="11"/>
      <c r="C58" s="11"/>
      <c r="D58" s="11"/>
      <c r="E58" s="11"/>
      <c r="F58" s="13"/>
      <c r="G58" s="13"/>
      <c r="H58" s="12"/>
      <c r="I58" s="13"/>
      <c r="J58" s="13"/>
      <c r="K58" s="13"/>
      <c r="L58" s="11"/>
      <c r="M58" s="11"/>
      <c r="N58" s="11"/>
      <c r="O58" s="19"/>
      <c r="P58" s="20"/>
    </row>
    <row r="59" spans="1:24" x14ac:dyDescent="0.2">
      <c r="A59" s="82" t="s">
        <v>311</v>
      </c>
      <c r="B59" s="11"/>
      <c r="C59" s="11"/>
      <c r="D59" s="11"/>
      <c r="E59" s="11"/>
      <c r="F59" s="13">
        <v>-442989</v>
      </c>
      <c r="G59" s="13">
        <v>-36503</v>
      </c>
      <c r="H59" s="12">
        <v>-356782</v>
      </c>
      <c r="I59" s="13">
        <v>-239742</v>
      </c>
      <c r="J59" s="13">
        <v>-150851</v>
      </c>
      <c r="K59" s="13">
        <v>-56286</v>
      </c>
      <c r="L59" s="11"/>
      <c r="M59" s="11"/>
      <c r="N59" s="11"/>
      <c r="O59" s="20"/>
      <c r="P59" s="20"/>
    </row>
    <row r="60" spans="1:24" x14ac:dyDescent="0.2">
      <c r="A60" s="9"/>
      <c r="B60" s="11"/>
      <c r="C60" s="11"/>
      <c r="D60" s="11"/>
      <c r="E60" s="11"/>
      <c r="F60" s="13"/>
      <c r="G60" s="13"/>
      <c r="H60" s="12"/>
      <c r="I60" s="13"/>
      <c r="J60" s="13"/>
      <c r="K60" s="13"/>
      <c r="L60" s="11"/>
      <c r="M60" s="11"/>
      <c r="N60" s="11"/>
      <c r="O60" s="20"/>
      <c r="P60" s="20"/>
    </row>
    <row r="61" spans="1:24" x14ac:dyDescent="0.2">
      <c r="A61" s="9"/>
      <c r="B61" s="11"/>
      <c r="C61" s="11"/>
      <c r="D61" s="11"/>
      <c r="E61" s="11"/>
      <c r="F61" s="13"/>
      <c r="G61" s="13"/>
      <c r="H61" s="12"/>
      <c r="I61" s="13"/>
      <c r="J61" s="13"/>
      <c r="K61" s="13"/>
      <c r="L61" s="11"/>
      <c r="M61" s="11"/>
      <c r="N61" s="11"/>
      <c r="O61" s="20"/>
      <c r="P61" s="20"/>
    </row>
    <row r="62" spans="1:24" x14ac:dyDescent="0.2">
      <c r="A62" s="9" t="s">
        <v>315</v>
      </c>
      <c r="B62" s="11"/>
      <c r="C62" s="11"/>
      <c r="D62" s="11"/>
      <c r="E62" s="11"/>
      <c r="F62" s="13">
        <v>-15409</v>
      </c>
      <c r="G62" s="13">
        <v>-66453</v>
      </c>
      <c r="H62" s="12">
        <v>-38531</v>
      </c>
      <c r="I62" s="13">
        <v>-121522</v>
      </c>
      <c r="J62" s="13">
        <v>-111061</v>
      </c>
      <c r="K62" s="13">
        <v>-56039</v>
      </c>
      <c r="L62" s="11"/>
      <c r="M62" s="11"/>
      <c r="N62" s="11"/>
      <c r="O62" s="20"/>
      <c r="P62" s="20"/>
    </row>
    <row r="63" spans="1:24" x14ac:dyDescent="0.2">
      <c r="A63" s="9"/>
      <c r="B63" s="11"/>
      <c r="C63" s="11"/>
      <c r="D63" s="11"/>
      <c r="E63" s="11"/>
      <c r="F63" s="13"/>
      <c r="G63" s="13"/>
      <c r="H63" s="12"/>
      <c r="I63" s="13"/>
      <c r="J63" s="13"/>
      <c r="K63" s="13"/>
      <c r="L63" s="11"/>
      <c r="M63" s="11"/>
      <c r="N63" s="11"/>
      <c r="O63" s="20"/>
      <c r="P63" s="20"/>
    </row>
    <row r="64" spans="1:24" x14ac:dyDescent="0.2">
      <c r="A64" s="9"/>
      <c r="B64" s="11"/>
      <c r="C64" s="11"/>
      <c r="D64" s="11"/>
      <c r="E64" s="11"/>
      <c r="F64" s="13"/>
      <c r="G64" s="13"/>
      <c r="H64" s="12"/>
      <c r="I64" s="13"/>
      <c r="J64" s="13"/>
      <c r="K64" s="13"/>
      <c r="L64" s="11"/>
      <c r="M64" s="11"/>
      <c r="N64" s="11"/>
      <c r="O64" s="20"/>
      <c r="P64" s="20"/>
    </row>
    <row r="65" spans="1:16" x14ac:dyDescent="0.2">
      <c r="A65" s="9"/>
      <c r="F65" s="14"/>
      <c r="G65" s="13"/>
      <c r="H65" s="12"/>
      <c r="I65" s="13"/>
      <c r="J65" s="13"/>
      <c r="K65" s="13"/>
      <c r="L65" s="11"/>
      <c r="M65" s="11"/>
      <c r="N65" s="11"/>
      <c r="O65" s="20"/>
      <c r="P65" s="20"/>
    </row>
    <row r="66" spans="1:16" x14ac:dyDescent="0.2">
      <c r="A66" s="9" t="s">
        <v>319</v>
      </c>
      <c r="B66" s="11"/>
      <c r="C66" s="11"/>
      <c r="D66" s="11"/>
      <c r="E66" s="11"/>
      <c r="F66" s="11"/>
      <c r="G66" s="13">
        <v>-3603231</v>
      </c>
      <c r="H66" s="13">
        <v>-9019410</v>
      </c>
      <c r="I66" s="12">
        <v>-4465839</v>
      </c>
      <c r="J66" s="13">
        <v>-12963141</v>
      </c>
      <c r="K66" s="13">
        <v>-28255770</v>
      </c>
      <c r="L66" s="13">
        <v>-48187890</v>
      </c>
      <c r="M66" s="11"/>
      <c r="N66" s="11"/>
      <c r="O66" s="20"/>
      <c r="P66" s="20"/>
    </row>
    <row r="67" spans="1:16" x14ac:dyDescent="0.2">
      <c r="A67" s="9"/>
      <c r="B67" s="11"/>
      <c r="C67" s="11"/>
      <c r="D67" s="11"/>
      <c r="E67" s="11"/>
      <c r="F67" s="11"/>
      <c r="G67" s="13"/>
      <c r="H67" s="13"/>
      <c r="I67" s="12"/>
      <c r="J67" s="13"/>
      <c r="K67" s="13"/>
      <c r="L67" s="13"/>
      <c r="M67" s="11"/>
      <c r="N67" s="11"/>
      <c r="O67" s="20"/>
      <c r="P67" s="20"/>
    </row>
    <row r="68" spans="1:16" x14ac:dyDescent="0.2">
      <c r="A68" s="9"/>
      <c r="B68" s="11"/>
      <c r="C68" s="11"/>
      <c r="D68" s="11"/>
      <c r="E68" s="11"/>
      <c r="F68" s="11"/>
      <c r="G68" s="13"/>
      <c r="H68" s="13"/>
      <c r="I68" s="12"/>
      <c r="J68" s="13"/>
      <c r="K68" s="13"/>
      <c r="L68" s="13"/>
      <c r="M68" s="11"/>
      <c r="N68" s="11"/>
      <c r="O68" s="20"/>
      <c r="P68" s="20"/>
    </row>
    <row r="69" spans="1:16" x14ac:dyDescent="0.2">
      <c r="A69" s="83" t="s">
        <v>352</v>
      </c>
      <c r="B69" s="11"/>
      <c r="C69" s="11"/>
      <c r="D69" s="11"/>
      <c r="E69" s="11"/>
      <c r="F69" s="11"/>
      <c r="G69" s="13">
        <v>-136728</v>
      </c>
      <c r="H69" s="13">
        <v>-430781</v>
      </c>
      <c r="I69" s="12">
        <v>-3810</v>
      </c>
      <c r="J69" s="13">
        <v>0</v>
      </c>
      <c r="K69" s="13">
        <v>-47282</v>
      </c>
      <c r="L69" s="13">
        <v>-64348</v>
      </c>
      <c r="M69" s="11"/>
      <c r="N69" s="11"/>
      <c r="O69" s="20"/>
      <c r="P69" s="20"/>
    </row>
    <row r="70" spans="1:16" x14ac:dyDescent="0.2">
      <c r="A70" s="9"/>
      <c r="B70" s="11"/>
      <c r="C70" s="11"/>
      <c r="D70" s="11"/>
      <c r="E70" s="11"/>
      <c r="F70" s="11"/>
      <c r="G70" s="13"/>
      <c r="H70" s="13"/>
      <c r="I70" s="12"/>
      <c r="J70" s="13"/>
      <c r="K70" s="13"/>
      <c r="L70" s="13"/>
      <c r="M70" s="11"/>
      <c r="N70" s="11"/>
      <c r="O70" s="19"/>
      <c r="P70" s="20"/>
    </row>
    <row r="71" spans="1:16" x14ac:dyDescent="0.2">
      <c r="A71" s="9" t="s">
        <v>324</v>
      </c>
      <c r="B71" s="11"/>
      <c r="C71" s="11"/>
      <c r="D71" s="11"/>
      <c r="E71" s="11"/>
      <c r="F71" s="11"/>
      <c r="G71" s="13">
        <v>-418961</v>
      </c>
      <c r="H71" s="13">
        <v>-414419</v>
      </c>
      <c r="I71" s="12">
        <v>-511609</v>
      </c>
      <c r="J71" s="13">
        <v>-1179195</v>
      </c>
      <c r="K71" s="13">
        <v>-1173667</v>
      </c>
      <c r="L71" s="13">
        <v>-332749</v>
      </c>
      <c r="M71" s="11"/>
      <c r="N71" s="11"/>
      <c r="O71" s="20"/>
      <c r="P71" s="20"/>
    </row>
    <row r="72" spans="1:16" x14ac:dyDescent="0.2">
      <c r="A72" s="9"/>
      <c r="B72" s="11"/>
      <c r="C72" s="11"/>
      <c r="D72" s="11"/>
      <c r="E72" s="11"/>
      <c r="F72" s="11"/>
      <c r="G72" s="13"/>
      <c r="H72" s="13"/>
      <c r="I72" s="12"/>
      <c r="J72" s="13"/>
      <c r="K72" s="13"/>
      <c r="L72" s="13"/>
      <c r="M72" s="11"/>
      <c r="N72" s="11"/>
      <c r="O72" s="19"/>
      <c r="P72" s="20"/>
    </row>
    <row r="73" spans="1:16" ht="16" thickBot="1" x14ac:dyDescent="0.25">
      <c r="A73" s="51"/>
      <c r="B73" s="11"/>
      <c r="C73" s="11"/>
      <c r="D73" s="11"/>
      <c r="E73" s="11"/>
      <c r="F73" s="11"/>
      <c r="G73" s="11"/>
      <c r="H73" s="13"/>
      <c r="I73" s="13"/>
      <c r="J73" s="12"/>
      <c r="K73" s="13"/>
      <c r="L73" s="13"/>
      <c r="M73" s="13"/>
      <c r="N73" s="11"/>
      <c r="O73" s="51" t="s">
        <v>353</v>
      </c>
      <c r="P73" s="20" t="s">
        <v>347</v>
      </c>
    </row>
  </sheetData>
  <dataValidations count="1">
    <dataValidation type="list" allowBlank="1" showInputMessage="1" showErrorMessage="1" sqref="O2:O35" xr:uid="{7BAA75A9-87BB-4440-978D-F64B788EE115}">
      <formula1>"Yes,No,IDK"</formula1>
    </dataValidation>
  </dataValidation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0FBB3-E8C6-8B45-B50C-1AA3A6075C57}">
  <dimension ref="A1:AF73"/>
  <sheetViews>
    <sheetView zoomScale="87" workbookViewId="0">
      <selection activeCell="Q60" sqref="Q60"/>
    </sheetView>
  </sheetViews>
  <sheetFormatPr baseColWidth="10" defaultRowHeight="15" x14ac:dyDescent="0.2"/>
  <cols>
    <col min="1" max="1" width="25.33203125" customWidth="1"/>
    <col min="2" max="2" width="12.6640625" bestFit="1" customWidth="1"/>
    <col min="3" max="7" width="13.6640625" bestFit="1" customWidth="1"/>
    <col min="8" max="10" width="12.6640625" bestFit="1" customWidth="1"/>
    <col min="11" max="14" width="12.83203125" bestFit="1" customWidth="1"/>
    <col min="15" max="15" width="11" bestFit="1" customWidth="1"/>
    <col min="19" max="19" width="11.33203125" bestFit="1" customWidth="1"/>
    <col min="20" max="24" width="11.1640625" bestFit="1" customWidth="1"/>
    <col min="27" max="27" width="11" bestFit="1" customWidth="1"/>
  </cols>
  <sheetData>
    <row r="1" spans="1:24" ht="16" thickBot="1" x14ac:dyDescent="0.25">
      <c r="A1" t="s">
        <v>249</v>
      </c>
      <c r="B1" s="4">
        <v>2013</v>
      </c>
      <c r="C1" s="3">
        <f>B1+1</f>
        <v>2014</v>
      </c>
      <c r="D1" s="3">
        <f t="shared" ref="D1:N1" si="0">C1+1</f>
        <v>2015</v>
      </c>
      <c r="E1" s="3">
        <f t="shared" si="0"/>
        <v>2016</v>
      </c>
      <c r="F1" s="3">
        <f t="shared" si="0"/>
        <v>2017</v>
      </c>
      <c r="G1" s="3">
        <f t="shared" si="0"/>
        <v>2018</v>
      </c>
      <c r="H1" s="3">
        <f t="shared" si="0"/>
        <v>2019</v>
      </c>
      <c r="I1" s="3">
        <f t="shared" si="0"/>
        <v>2020</v>
      </c>
      <c r="J1" s="3">
        <f t="shared" si="0"/>
        <v>2021</v>
      </c>
      <c r="K1" s="3">
        <f t="shared" si="0"/>
        <v>2022</v>
      </c>
      <c r="L1" s="3">
        <f t="shared" si="0"/>
        <v>2023</v>
      </c>
      <c r="M1" s="3">
        <f t="shared" si="0"/>
        <v>2024</v>
      </c>
      <c r="N1" s="3">
        <f t="shared" si="0"/>
        <v>2025</v>
      </c>
      <c r="O1" s="24" t="s">
        <v>262</v>
      </c>
      <c r="P1" s="24" t="s">
        <v>224</v>
      </c>
    </row>
    <row r="2" spans="1:24" x14ac:dyDescent="0.2">
      <c r="A2" s="8" t="s">
        <v>123</v>
      </c>
      <c r="B2" s="11" t="s">
        <v>222</v>
      </c>
      <c r="C2" s="13">
        <f>195281+111944+31759</f>
        <v>338984</v>
      </c>
      <c r="D2" s="13">
        <f>242831+153369+62369</f>
        <v>458569</v>
      </c>
      <c r="E2" s="12">
        <f>234025+54820+64540+15225+161077+37823</f>
        <v>567510</v>
      </c>
      <c r="F2" s="13">
        <f>344521+109074+115954+27356+205246+48136</f>
        <v>850287</v>
      </c>
      <c r="G2" s="13">
        <f>35043+912039+219574</f>
        <v>1166656</v>
      </c>
      <c r="H2" s="13">
        <f>537408+128567+146497+35224+293335+70336+27182</f>
        <v>1238549</v>
      </c>
      <c r="I2" s="11">
        <f>576241+137539+170656+41111+298534+71590</f>
        <v>1295671</v>
      </c>
      <c r="J2" s="11">
        <f>709571+165875+196669+46394+313334+73626</f>
        <v>1505469</v>
      </c>
      <c r="K2" s="11">
        <f>811951+190261+184895+45226+336614+79161</f>
        <v>1648108</v>
      </c>
      <c r="L2" s="11">
        <f>1079737+254034+17367</f>
        <v>1351138</v>
      </c>
      <c r="M2" s="11">
        <f>1110365+260841</f>
        <v>1371206</v>
      </c>
      <c r="N2" s="11">
        <v>1483603</v>
      </c>
      <c r="O2" s="44" t="s">
        <v>263</v>
      </c>
      <c r="P2" s="23"/>
    </row>
    <row r="3" spans="1:24" x14ac:dyDescent="0.2">
      <c r="A3" s="9" t="s">
        <v>129</v>
      </c>
      <c r="B3" s="11" t="s">
        <v>222</v>
      </c>
      <c r="C3" s="13">
        <v>523637</v>
      </c>
      <c r="D3" s="13">
        <v>739499</v>
      </c>
      <c r="E3" s="12">
        <v>740343</v>
      </c>
      <c r="F3" s="13">
        <v>813666</v>
      </c>
      <c r="G3" s="13">
        <v>1058997</v>
      </c>
      <c r="H3" s="13">
        <f>947783+226319</f>
        <v>1174102</v>
      </c>
      <c r="I3" s="11">
        <f>76431+1187481+285362</f>
        <v>1549274</v>
      </c>
      <c r="J3" s="11">
        <f>65064+1179708+268703</f>
        <v>1513475</v>
      </c>
      <c r="K3" s="11">
        <f>91152+1409148+330171</f>
        <v>1830471</v>
      </c>
      <c r="L3" s="11">
        <f>101399+1746429+410911</f>
        <v>2258739</v>
      </c>
      <c r="M3" s="11">
        <f>83064+1665168+391432</f>
        <v>2139664</v>
      </c>
      <c r="N3" s="11" t="s">
        <v>222</v>
      </c>
      <c r="O3" s="78" t="s">
        <v>263</v>
      </c>
      <c r="P3" s="20"/>
    </row>
    <row r="4" spans="1:24" x14ac:dyDescent="0.2">
      <c r="A4" s="9" t="s">
        <v>144</v>
      </c>
      <c r="B4" s="11" t="s">
        <v>222</v>
      </c>
      <c r="C4" s="13" t="s">
        <v>222</v>
      </c>
      <c r="D4" s="13" t="s">
        <v>222</v>
      </c>
      <c r="E4" s="12" t="s">
        <v>222</v>
      </c>
      <c r="F4" s="13" t="s">
        <v>222</v>
      </c>
      <c r="G4" s="13">
        <v>6271518</v>
      </c>
      <c r="H4" s="13">
        <v>6479286</v>
      </c>
      <c r="I4" s="11">
        <v>5623563</v>
      </c>
      <c r="J4" s="11">
        <v>5161503</v>
      </c>
      <c r="K4" s="11">
        <v>4973708</v>
      </c>
      <c r="L4" s="11">
        <v>5254175</v>
      </c>
      <c r="M4" s="11">
        <f>3905879+2168486</f>
        <v>6074365</v>
      </c>
      <c r="N4" s="11">
        <f>2946645+2154938</f>
        <v>5101583</v>
      </c>
      <c r="O4" s="43" t="s">
        <v>264</v>
      </c>
      <c r="P4" s="20"/>
    </row>
    <row r="5" spans="1:24" x14ac:dyDescent="0.2">
      <c r="A5" s="9" t="s">
        <v>133</v>
      </c>
      <c r="B5" s="11" t="s">
        <v>222</v>
      </c>
      <c r="C5" s="13">
        <f>1587240+370757+528210+124434+117748+26398+2225</f>
        <v>2757012</v>
      </c>
      <c r="D5" s="13">
        <f>1672860+391392+583328+160073+119032+27455+2225</f>
        <v>2956365</v>
      </c>
      <c r="E5" s="12">
        <f>1814022+424431+604026+141836+128963+30418+2225</f>
        <v>3145921</v>
      </c>
      <c r="F5" s="13">
        <f>1803781+423116+616694+145136+120395+28457+2225</f>
        <v>3139804</v>
      </c>
      <c r="G5" s="13">
        <f>2234+2713491+649364</f>
        <v>3365089</v>
      </c>
      <c r="H5" s="13">
        <f>2234+3003680+716931</f>
        <v>3722845</v>
      </c>
      <c r="I5" s="11">
        <f>2234+3282168+771092</f>
        <v>4055494</v>
      </c>
      <c r="J5" s="11">
        <f>4820+3473216+810278</f>
        <v>4288314</v>
      </c>
      <c r="K5" s="11">
        <f>7415+3250385+759090</f>
        <v>4016890</v>
      </c>
      <c r="L5" s="11">
        <f>2983262+696604+750409+178772+153465+34410+9195</f>
        <v>4806117</v>
      </c>
      <c r="M5" s="11">
        <f>3228870+755359+803604+188804+161373+36175+10382</f>
        <v>5184567</v>
      </c>
      <c r="N5" s="11" t="s">
        <v>222</v>
      </c>
      <c r="O5" s="44" t="s">
        <v>263</v>
      </c>
      <c r="P5" s="20"/>
    </row>
    <row r="6" spans="1:24" ht="16" thickBot="1" x14ac:dyDescent="0.25">
      <c r="A6" s="9" t="s">
        <v>139</v>
      </c>
      <c r="B6" s="11" t="s">
        <v>222</v>
      </c>
      <c r="C6" s="13">
        <v>0</v>
      </c>
      <c r="D6" s="13">
        <v>2689</v>
      </c>
      <c r="E6" s="12">
        <v>16095</v>
      </c>
      <c r="F6" s="13">
        <v>52195</v>
      </c>
      <c r="G6" s="13" t="s">
        <v>222</v>
      </c>
      <c r="H6" s="13" t="s">
        <v>222</v>
      </c>
      <c r="I6" s="11">
        <v>58471</v>
      </c>
      <c r="J6" s="11">
        <v>90409</v>
      </c>
      <c r="K6" s="11">
        <v>83280</v>
      </c>
      <c r="L6" s="11">
        <v>85687</v>
      </c>
      <c r="M6" s="11">
        <v>82899</v>
      </c>
      <c r="N6" s="11">
        <v>75399</v>
      </c>
      <c r="O6" s="22" t="s">
        <v>264</v>
      </c>
      <c r="P6" s="20"/>
      <c r="S6" s="24" t="s">
        <v>333</v>
      </c>
      <c r="T6" s="24" t="s">
        <v>332</v>
      </c>
      <c r="U6" s="24" t="s">
        <v>331</v>
      </c>
      <c r="V6" s="24" t="s">
        <v>334</v>
      </c>
      <c r="W6" s="24" t="s">
        <v>335</v>
      </c>
      <c r="X6" s="24" t="s">
        <v>336</v>
      </c>
    </row>
    <row r="7" spans="1:24" x14ac:dyDescent="0.2">
      <c r="A7" s="9" t="s">
        <v>205</v>
      </c>
      <c r="B7" s="11" t="s">
        <v>222</v>
      </c>
      <c r="C7" s="13" t="s">
        <v>222</v>
      </c>
      <c r="D7" s="13" t="s">
        <v>222</v>
      </c>
      <c r="E7" s="12" t="s">
        <v>222</v>
      </c>
      <c r="F7" s="13" t="s">
        <v>222</v>
      </c>
      <c r="G7" s="15" t="s">
        <v>222</v>
      </c>
      <c r="H7" s="13" t="s">
        <v>222</v>
      </c>
      <c r="I7" s="11" t="s">
        <v>222</v>
      </c>
      <c r="J7" s="11">
        <v>2461</v>
      </c>
      <c r="K7" s="11">
        <v>2545</v>
      </c>
      <c r="L7" s="11">
        <v>2545</v>
      </c>
      <c r="M7" s="11">
        <v>4598</v>
      </c>
      <c r="N7" s="11">
        <v>4598</v>
      </c>
      <c r="O7" s="43" t="s">
        <v>264</v>
      </c>
      <c r="P7" s="20"/>
      <c r="S7" s="13">
        <v>523637</v>
      </c>
      <c r="T7" s="13">
        <v>739499</v>
      </c>
      <c r="U7" s="12">
        <v>740343</v>
      </c>
      <c r="V7" s="13">
        <v>813666</v>
      </c>
      <c r="W7" s="13">
        <v>1058997</v>
      </c>
      <c r="X7" s="13">
        <f>947783+226319</f>
        <v>1174102</v>
      </c>
    </row>
    <row r="8" spans="1:24" x14ac:dyDescent="0.2">
      <c r="A8" s="9" t="s">
        <v>159</v>
      </c>
      <c r="B8" s="11" t="s">
        <v>222</v>
      </c>
      <c r="C8" s="13" t="s">
        <v>222</v>
      </c>
      <c r="D8" s="13" t="s">
        <v>222</v>
      </c>
      <c r="E8" s="12">
        <f>457+107</f>
        <v>564</v>
      </c>
      <c r="F8" s="13">
        <v>36205</v>
      </c>
      <c r="G8" s="13">
        <v>49309</v>
      </c>
      <c r="H8" s="13" t="s">
        <v>222</v>
      </c>
      <c r="I8" s="11" t="s">
        <v>222</v>
      </c>
      <c r="J8" s="11" t="s">
        <v>222</v>
      </c>
      <c r="K8" s="11" t="s">
        <v>222</v>
      </c>
      <c r="L8" s="11" t="s">
        <v>222</v>
      </c>
      <c r="M8" s="11" t="s">
        <v>222</v>
      </c>
      <c r="N8" s="11" t="s">
        <v>222</v>
      </c>
      <c r="O8" s="43" t="s">
        <v>264</v>
      </c>
      <c r="P8" s="20"/>
      <c r="S8" s="13">
        <f>1587240+370757+528210+124434+117748+26398+2225</f>
        <v>2757012</v>
      </c>
      <c r="T8" s="13">
        <f>1672860+391392+583328+160073+119032+27455+2225</f>
        <v>2956365</v>
      </c>
      <c r="U8" s="12">
        <f>1814022+424431+604026+141836+128963+30418+2225</f>
        <v>3145921</v>
      </c>
      <c r="V8" s="13">
        <f>1803781+423116+616694+145136+120395+28457+2225</f>
        <v>3139804</v>
      </c>
      <c r="W8" s="13">
        <f>2234+2713491+649364</f>
        <v>3365089</v>
      </c>
      <c r="X8" s="13">
        <f>2234+3003680+716931</f>
        <v>3722845</v>
      </c>
    </row>
    <row r="9" spans="1:24" x14ac:dyDescent="0.2">
      <c r="A9" s="9" t="s">
        <v>164</v>
      </c>
      <c r="B9" s="11" t="s">
        <v>222</v>
      </c>
      <c r="C9" s="13" t="s">
        <v>222</v>
      </c>
      <c r="D9" s="13" t="s">
        <v>222</v>
      </c>
      <c r="E9" s="12" t="s">
        <v>222</v>
      </c>
      <c r="F9" s="13" t="s">
        <v>222</v>
      </c>
      <c r="G9" s="13" t="s">
        <v>222</v>
      </c>
      <c r="H9" s="13" t="s">
        <v>222</v>
      </c>
      <c r="I9" s="11" t="s">
        <v>222</v>
      </c>
      <c r="J9" s="11" t="s">
        <v>222</v>
      </c>
      <c r="K9" s="11" t="s">
        <v>222</v>
      </c>
      <c r="L9" s="11" t="s">
        <v>222</v>
      </c>
      <c r="M9" s="11" t="s">
        <v>222</v>
      </c>
      <c r="N9" s="11" t="s">
        <v>222</v>
      </c>
      <c r="O9" s="22" t="s">
        <v>264</v>
      </c>
      <c r="P9" s="20"/>
      <c r="S9" s="13">
        <f>1587240+370757+528210+124434+117748+26398+2225</f>
        <v>2757012</v>
      </c>
      <c r="T9" s="13">
        <f>1672860+391392+583328+160073+119032+27455+2225</f>
        <v>2956365</v>
      </c>
      <c r="U9" s="12">
        <f>1814022+424431+604026+141836+128963+30418+2225</f>
        <v>3145921</v>
      </c>
      <c r="V9" s="13">
        <f>1803781+423116+616694+145136+120395+28457+2225</f>
        <v>3139804</v>
      </c>
      <c r="W9" s="13">
        <f>2234+2713491+649364</f>
        <v>3365089</v>
      </c>
      <c r="X9" s="13">
        <f>2234+3003680+716931</f>
        <v>3722845</v>
      </c>
    </row>
    <row r="10" spans="1:24" x14ac:dyDescent="0.2">
      <c r="A10" s="9" t="s">
        <v>182</v>
      </c>
      <c r="B10" s="11" t="s">
        <v>222</v>
      </c>
      <c r="C10" s="13">
        <v>487571</v>
      </c>
      <c r="D10" s="13">
        <v>347343</v>
      </c>
      <c r="E10" s="12">
        <v>347343</v>
      </c>
      <c r="F10" s="13">
        <v>230115</v>
      </c>
      <c r="G10" s="13">
        <f>129923+304962+73465</f>
        <v>508350</v>
      </c>
      <c r="H10" s="13">
        <f>95452+393779+94120</f>
        <v>583351</v>
      </c>
      <c r="I10" s="11">
        <f>97915+366201+83002</f>
        <v>547118</v>
      </c>
      <c r="J10" s="11">
        <f>88790+412200+95556</f>
        <v>596546</v>
      </c>
      <c r="K10" s="11">
        <f>108679+662690+154822</f>
        <v>926191</v>
      </c>
      <c r="L10" s="11">
        <f>127603+502595+117477</f>
        <v>747675</v>
      </c>
      <c r="M10" s="11">
        <f>129439+555191+128958</f>
        <v>813588</v>
      </c>
      <c r="N10" s="11" t="s">
        <v>222</v>
      </c>
      <c r="O10" s="44" t="s">
        <v>263</v>
      </c>
      <c r="P10" s="20"/>
      <c r="S10" s="13">
        <v>672843</v>
      </c>
      <c r="T10" s="13">
        <v>1488737</v>
      </c>
      <c r="U10" s="12">
        <v>2364264</v>
      </c>
      <c r="V10" s="13">
        <v>2093985</v>
      </c>
      <c r="W10" s="13">
        <f>1397189+335858</f>
        <v>1733047</v>
      </c>
      <c r="X10" s="13">
        <f>1224695+293551</f>
        <v>1518246</v>
      </c>
    </row>
    <row r="11" spans="1:24" x14ac:dyDescent="0.2">
      <c r="A11" s="9" t="s">
        <v>209</v>
      </c>
      <c r="B11" s="11" t="s">
        <v>222</v>
      </c>
      <c r="C11" s="13">
        <f>27582+4894</f>
        <v>32476</v>
      </c>
      <c r="D11" s="13">
        <f>42071+5339</f>
        <v>47410</v>
      </c>
      <c r="E11" s="12">
        <f>42071+5339</f>
        <v>47410</v>
      </c>
      <c r="F11" s="13">
        <f>66531+16542</f>
        <v>83073</v>
      </c>
      <c r="G11" s="13" t="s">
        <v>222</v>
      </c>
      <c r="H11" s="13" t="s">
        <v>222</v>
      </c>
      <c r="I11" s="11" t="s">
        <v>222</v>
      </c>
      <c r="J11" s="11" t="s">
        <v>222</v>
      </c>
      <c r="K11" s="11" t="s">
        <v>222</v>
      </c>
      <c r="L11" s="11" t="s">
        <v>222</v>
      </c>
      <c r="M11" s="11" t="s">
        <v>222</v>
      </c>
      <c r="N11" s="11" t="s">
        <v>222</v>
      </c>
      <c r="O11" s="22" t="s">
        <v>264</v>
      </c>
      <c r="P11" s="20" t="s">
        <v>266</v>
      </c>
      <c r="S11" s="13">
        <v>1567011</v>
      </c>
      <c r="T11" s="13">
        <v>1599886</v>
      </c>
      <c r="U11" s="12">
        <v>1800662</v>
      </c>
      <c r="V11" s="13">
        <f>1823220+440194</f>
        <v>2263414</v>
      </c>
      <c r="W11" s="13">
        <f>1962684+468908</f>
        <v>2431592</v>
      </c>
      <c r="X11" s="13">
        <f>1997755+480731</f>
        <v>2478486</v>
      </c>
    </row>
    <row r="12" spans="1:24" x14ac:dyDescent="0.2">
      <c r="A12" s="9" t="s">
        <v>170</v>
      </c>
      <c r="B12" s="11" t="s">
        <v>222</v>
      </c>
      <c r="C12" s="11">
        <v>653720</v>
      </c>
      <c r="D12" s="13">
        <v>672843</v>
      </c>
      <c r="E12" s="13">
        <v>1488737</v>
      </c>
      <c r="F12" s="12">
        <v>2364264</v>
      </c>
      <c r="G12" s="13">
        <v>2093985</v>
      </c>
      <c r="H12" s="13">
        <f>1397189+335858</f>
        <v>1733047</v>
      </c>
      <c r="I12" s="13">
        <f>1224695+293551</f>
        <v>1518246</v>
      </c>
      <c r="J12" s="11">
        <f>1224695+293551</f>
        <v>1518246</v>
      </c>
      <c r="K12" s="11">
        <f>2058606+488562</f>
        <v>2547168</v>
      </c>
      <c r="L12" s="11">
        <v>3092067</v>
      </c>
      <c r="M12" s="11">
        <v>3093707</v>
      </c>
      <c r="N12" s="11">
        <v>3128387</v>
      </c>
      <c r="O12" s="44" t="s">
        <v>263</v>
      </c>
      <c r="P12" s="20"/>
      <c r="S12" s="13">
        <v>53752</v>
      </c>
      <c r="T12" s="13">
        <v>625967</v>
      </c>
      <c r="U12" s="12">
        <v>674923</v>
      </c>
      <c r="V12" s="13">
        <v>784012</v>
      </c>
      <c r="W12" s="13">
        <v>786842</v>
      </c>
      <c r="X12" s="13">
        <v>877588</v>
      </c>
    </row>
    <row r="13" spans="1:24" x14ac:dyDescent="0.2">
      <c r="A13" s="9" t="s">
        <v>175</v>
      </c>
      <c r="B13" s="11" t="s">
        <v>222</v>
      </c>
      <c r="C13" s="11">
        <v>1444727</v>
      </c>
      <c r="D13" s="13">
        <v>1567011</v>
      </c>
      <c r="E13" s="13">
        <v>1599886</v>
      </c>
      <c r="F13" s="12">
        <v>1800662</v>
      </c>
      <c r="G13" s="13">
        <f>1823220+440194</f>
        <v>2263414</v>
      </c>
      <c r="H13" s="13">
        <f>1962684+468908</f>
        <v>2431592</v>
      </c>
      <c r="I13" s="13">
        <f>1997755+480731</f>
        <v>2478486</v>
      </c>
      <c r="J13" s="11">
        <f>2065905+494962</f>
        <v>2560867</v>
      </c>
      <c r="K13" s="11">
        <f>2342510+557518</f>
        <v>2900028</v>
      </c>
      <c r="L13" s="11">
        <f>2397093+553827</f>
        <v>2950920</v>
      </c>
      <c r="M13" s="11">
        <f>2306816+544716</f>
        <v>2851532</v>
      </c>
      <c r="N13" s="11" t="s">
        <v>222</v>
      </c>
      <c r="O13" s="44" t="s">
        <v>263</v>
      </c>
      <c r="P13" s="20"/>
      <c r="S13" s="13">
        <f>1606020+524470</f>
        <v>2130490</v>
      </c>
      <c r="T13" s="13">
        <f>1838130+563434</f>
        <v>2401564</v>
      </c>
      <c r="U13" s="12">
        <f>2372147+804324+716872</f>
        <v>3893343</v>
      </c>
      <c r="V13" s="13">
        <f>2813174+109163+1499409</f>
        <v>4421746</v>
      </c>
      <c r="W13" s="13">
        <f>5707479+362808+1983536</f>
        <v>8053823</v>
      </c>
      <c r="X13" s="13">
        <f>7114531+207880+3154228</f>
        <v>10476639</v>
      </c>
    </row>
    <row r="14" spans="1:24" x14ac:dyDescent="0.2">
      <c r="A14" s="9" t="s">
        <v>186</v>
      </c>
      <c r="B14" s="11" t="s">
        <v>222</v>
      </c>
      <c r="C14" s="11">
        <v>53860</v>
      </c>
      <c r="D14" s="13">
        <v>53752</v>
      </c>
      <c r="E14" s="13">
        <v>625967</v>
      </c>
      <c r="F14" s="12">
        <v>674923</v>
      </c>
      <c r="G14" s="13">
        <v>784012</v>
      </c>
      <c r="H14" s="13">
        <v>786842</v>
      </c>
      <c r="I14" s="13">
        <v>877588</v>
      </c>
      <c r="J14" s="11">
        <v>919445</v>
      </c>
      <c r="K14" s="11">
        <v>1050025</v>
      </c>
      <c r="L14" s="11">
        <v>1067345</v>
      </c>
      <c r="M14" s="11">
        <v>1085866</v>
      </c>
      <c r="N14" s="11">
        <v>1090279</v>
      </c>
      <c r="O14" s="44" t="s">
        <v>263</v>
      </c>
      <c r="P14" s="20"/>
      <c r="S14" s="13">
        <f>2161442+502057+265722+61557</f>
        <v>2990778</v>
      </c>
      <c r="T14" s="13">
        <f>2488010+594594+316042+75529</f>
        <v>3474175</v>
      </c>
      <c r="U14" s="12">
        <f>2846906+679946+366826+87612</f>
        <v>3981290</v>
      </c>
      <c r="V14" s="13">
        <f>2966961+708413+439671+104979</f>
        <v>4220024</v>
      </c>
      <c r="W14" s="13">
        <f>2866683+670662+471396+110456</f>
        <v>4119197</v>
      </c>
      <c r="X14" s="13">
        <f>3097929+721680+465735+108496</f>
        <v>4393840</v>
      </c>
    </row>
    <row r="15" spans="1:24" x14ac:dyDescent="0.2">
      <c r="A15" s="9" t="s">
        <v>195</v>
      </c>
      <c r="B15" s="11">
        <f>1435632+431371</f>
        <v>1867003</v>
      </c>
      <c r="C15" s="11">
        <f>1464702+462987</f>
        <v>1927689</v>
      </c>
      <c r="D15" s="13">
        <f>1606020+524470</f>
        <v>2130490</v>
      </c>
      <c r="E15" s="13">
        <f>1838130+563434</f>
        <v>2401564</v>
      </c>
      <c r="F15" s="12">
        <f>2372147+804324+716872</f>
        <v>3893343</v>
      </c>
      <c r="G15" s="13">
        <f>2813174+109163+1499409</f>
        <v>4421746</v>
      </c>
      <c r="H15" s="13">
        <f>5707479+362808+1983536</f>
        <v>8053823</v>
      </c>
      <c r="I15" s="13">
        <f>7114531+207880+3154228</f>
        <v>10476639</v>
      </c>
      <c r="J15" s="11">
        <f>8094944+233446+4373458</f>
        <v>12701848</v>
      </c>
      <c r="K15" s="11">
        <f>11970474+360909+4303150</f>
        <v>16634533</v>
      </c>
      <c r="L15" s="11">
        <f>10803022+268791+5952190</f>
        <v>17024003</v>
      </c>
      <c r="M15" s="11">
        <f>9792677+185160+6063677</f>
        <v>16041514</v>
      </c>
      <c r="N15" s="11" t="s">
        <v>222</v>
      </c>
      <c r="O15" s="44" t="s">
        <v>263</v>
      </c>
      <c r="P15" s="20"/>
      <c r="S15" s="13">
        <v>897858</v>
      </c>
      <c r="T15" s="13">
        <f>803020+193021</f>
        <v>996041</v>
      </c>
      <c r="U15" s="12">
        <f>563511+135822+324573+77739+111528+26857</f>
        <v>1240030</v>
      </c>
      <c r="V15" s="13">
        <f>534041+128594+307771+73942+155958+37462</f>
        <v>1237768</v>
      </c>
      <c r="W15" s="13">
        <f>628521+148309+336495+79338+189410+33672</f>
        <v>1415745</v>
      </c>
      <c r="X15" s="13">
        <f>630531+140783+380093+89276+208465+47283</f>
        <v>1496431</v>
      </c>
    </row>
    <row r="16" spans="1:24" x14ac:dyDescent="0.2">
      <c r="A16" s="9" t="s">
        <v>151</v>
      </c>
      <c r="B16" s="11" t="s">
        <v>222</v>
      </c>
      <c r="C16" s="11" t="s">
        <v>222</v>
      </c>
      <c r="D16" s="13">
        <f>392052</f>
        <v>392052</v>
      </c>
      <c r="E16" s="13">
        <f>342653</f>
        <v>342653</v>
      </c>
      <c r="F16" s="12" t="s">
        <v>222</v>
      </c>
      <c r="G16" s="13" t="s">
        <v>222</v>
      </c>
      <c r="H16" s="13" t="s">
        <v>222</v>
      </c>
      <c r="I16" s="13" t="s">
        <v>222</v>
      </c>
      <c r="J16" s="11" t="s">
        <v>222</v>
      </c>
      <c r="K16" s="11" t="s">
        <v>222</v>
      </c>
      <c r="L16" s="11" t="s">
        <v>222</v>
      </c>
      <c r="M16" s="11" t="s">
        <v>222</v>
      </c>
      <c r="N16" s="11" t="s">
        <v>222</v>
      </c>
      <c r="O16" s="22" t="s">
        <v>264</v>
      </c>
      <c r="P16" s="20" t="s">
        <v>266</v>
      </c>
      <c r="S16" s="13">
        <f>653969+154222+187202+44148</f>
        <v>1039541</v>
      </c>
      <c r="T16" s="13">
        <f>860638+204993+169798+40504</f>
        <v>1275933</v>
      </c>
      <c r="U16" s="12">
        <f>1050270+252907+170+41045</f>
        <v>1344392</v>
      </c>
      <c r="V16" s="13">
        <f>36482+1242585+298875</f>
        <v>1577942</v>
      </c>
      <c r="W16" s="13">
        <f>26400+1593403+385272</f>
        <v>2005075</v>
      </c>
      <c r="X16" s="13">
        <f>26400+1879954+448670</f>
        <v>2355024</v>
      </c>
    </row>
    <row r="17" spans="1:32" x14ac:dyDescent="0.2">
      <c r="A17" s="9" t="s">
        <v>190</v>
      </c>
      <c r="B17" s="11">
        <v>52387</v>
      </c>
      <c r="C17" s="11">
        <v>48881</v>
      </c>
      <c r="D17" s="13">
        <f>31453+6355</f>
        <v>37808</v>
      </c>
      <c r="E17" s="13" t="s">
        <v>222</v>
      </c>
      <c r="F17" s="12" t="s">
        <v>222</v>
      </c>
      <c r="G17" s="13" t="s">
        <v>222</v>
      </c>
      <c r="H17" s="13" t="s">
        <v>222</v>
      </c>
      <c r="I17" s="13" t="s">
        <v>222</v>
      </c>
      <c r="J17" s="11">
        <f>42902</f>
        <v>42902</v>
      </c>
      <c r="K17" s="11">
        <f>88791</f>
        <v>88791</v>
      </c>
      <c r="L17" s="11">
        <f>640601+312476</f>
        <v>953077</v>
      </c>
      <c r="M17" s="11">
        <f>1366179+375053</f>
        <v>1741232</v>
      </c>
      <c r="N17" s="11" t="s">
        <v>222</v>
      </c>
      <c r="O17" s="22" t="s">
        <v>264</v>
      </c>
      <c r="P17" s="20"/>
      <c r="S17" s="13">
        <v>1336475</v>
      </c>
      <c r="T17" s="13">
        <v>1539649</v>
      </c>
      <c r="U17" s="12">
        <f>1523044+365845</f>
        <v>1888889</v>
      </c>
      <c r="V17" s="13">
        <f>1459061+350323</f>
        <v>1809384</v>
      </c>
      <c r="W17" s="13">
        <f>1717374+403744</f>
        <v>2121118</v>
      </c>
      <c r="X17" s="13">
        <f>2114669+497498</f>
        <v>2612167</v>
      </c>
    </row>
    <row r="18" spans="1:32" x14ac:dyDescent="0.2">
      <c r="A18" s="9" t="s">
        <v>200</v>
      </c>
      <c r="B18" s="11" t="s">
        <v>222</v>
      </c>
      <c r="C18" s="11" t="s">
        <v>222</v>
      </c>
      <c r="D18" s="13" t="s">
        <v>222</v>
      </c>
      <c r="E18" s="13" t="s">
        <v>222</v>
      </c>
      <c r="F18" s="12" t="s">
        <v>222</v>
      </c>
      <c r="G18" s="13" t="s">
        <v>222</v>
      </c>
      <c r="H18" s="13" t="s">
        <v>222</v>
      </c>
      <c r="I18" s="13" t="s">
        <v>222</v>
      </c>
      <c r="J18" s="11" t="s">
        <v>222</v>
      </c>
      <c r="K18" s="11" t="s">
        <v>222</v>
      </c>
      <c r="L18" s="11" t="s">
        <v>222</v>
      </c>
      <c r="M18" s="11" t="s">
        <v>222</v>
      </c>
      <c r="N18" s="11" t="s">
        <v>222</v>
      </c>
      <c r="O18" s="22" t="s">
        <v>264</v>
      </c>
      <c r="P18" s="20"/>
      <c r="S18" s="13">
        <f>6000+3087487+743739</f>
        <v>3837226</v>
      </c>
      <c r="T18" s="13">
        <f>6000+2592941+623879</f>
        <v>3222820</v>
      </c>
      <c r="U18" s="12">
        <f>13748+3118584+748305</f>
        <v>3880637</v>
      </c>
      <c r="V18" s="13">
        <f>14427+3865496+909364</f>
        <v>4789287</v>
      </c>
      <c r="W18" s="13">
        <f>14315+5508734+1299635</f>
        <v>6822684</v>
      </c>
      <c r="X18" s="13">
        <f>7576995+1784122</f>
        <v>9361117</v>
      </c>
    </row>
    <row r="19" spans="1:32" x14ac:dyDescent="0.2">
      <c r="A19" s="9" t="s">
        <v>75</v>
      </c>
      <c r="B19" s="11" t="s">
        <v>222</v>
      </c>
      <c r="C19" s="11" t="s">
        <v>222</v>
      </c>
      <c r="D19" s="11">
        <f>2029415+478320+279134+65095</f>
        <v>2851964</v>
      </c>
      <c r="E19" s="11">
        <f>260026+60589+1613220+381025</f>
        <v>2314860</v>
      </c>
      <c r="F19" s="13">
        <f>2161442+502057+265722+61557</f>
        <v>2990778</v>
      </c>
      <c r="G19" s="13">
        <f>2488010+594594+316042+75529</f>
        <v>3474175</v>
      </c>
      <c r="H19" s="12">
        <f>2846906+679946+366826+87612</f>
        <v>3981290</v>
      </c>
      <c r="I19" s="13">
        <f>2966961+708413+439671+104979</f>
        <v>4220024</v>
      </c>
      <c r="J19" s="13">
        <f>2866683+670662+471396+110456</f>
        <v>4119197</v>
      </c>
      <c r="K19" s="13">
        <f>3097929+721680+465735+108496</f>
        <v>4393840</v>
      </c>
      <c r="L19" s="11">
        <f>4694489</f>
        <v>4694489</v>
      </c>
      <c r="M19" s="11">
        <f>4424782</f>
        <v>4424782</v>
      </c>
      <c r="N19" s="11" t="s">
        <v>222</v>
      </c>
      <c r="O19" s="44" t="s">
        <v>263</v>
      </c>
      <c r="P19" s="20"/>
      <c r="S19" s="13">
        <f>403680+70217</f>
        <v>473897</v>
      </c>
      <c r="T19" s="13">
        <f>1043122+195260</f>
        <v>1238382</v>
      </c>
      <c r="U19" s="12">
        <f>1142937+366211</f>
        <v>1509148</v>
      </c>
      <c r="V19" s="13">
        <f>108146+1688995+400414</f>
        <v>2197555</v>
      </c>
      <c r="W19" s="13">
        <f>2341242+576736</f>
        <v>2917978</v>
      </c>
      <c r="X19" s="13">
        <f>567976+1962048</f>
        <v>2530024</v>
      </c>
    </row>
    <row r="20" spans="1:32" x14ac:dyDescent="0.2">
      <c r="A20" s="9" t="s">
        <v>81</v>
      </c>
      <c r="B20" s="11" t="s">
        <v>222</v>
      </c>
      <c r="C20" s="11" t="s">
        <v>222</v>
      </c>
      <c r="D20" s="11" t="s">
        <v>222</v>
      </c>
      <c r="E20" s="11" t="s">
        <v>222</v>
      </c>
      <c r="F20" s="13">
        <v>11962</v>
      </c>
      <c r="G20" s="13">
        <f>36679</f>
        <v>36679</v>
      </c>
      <c r="H20" s="12">
        <f>114204+0+127096</f>
        <v>241300</v>
      </c>
      <c r="I20" s="13">
        <f>1011232+25404+102308</f>
        <v>1138944</v>
      </c>
      <c r="J20" s="13">
        <v>1482843</v>
      </c>
      <c r="K20" s="13">
        <v>2071993</v>
      </c>
      <c r="L20" s="11">
        <v>2547673</v>
      </c>
      <c r="M20" s="11">
        <v>3185787</v>
      </c>
      <c r="N20" s="11" t="s">
        <v>222</v>
      </c>
      <c r="O20" s="45" t="s">
        <v>263</v>
      </c>
      <c r="P20" s="20"/>
      <c r="S20" s="13">
        <f>27073+702952+169619+279</f>
        <v>899923</v>
      </c>
      <c r="T20" s="13">
        <f>27061+737702+177714+252</f>
        <v>942729</v>
      </c>
      <c r="U20" s="12">
        <v>957362</v>
      </c>
      <c r="V20" s="13">
        <v>913335</v>
      </c>
      <c r="W20" s="13">
        <v>943043</v>
      </c>
      <c r="X20" s="13">
        <v>1017789</v>
      </c>
    </row>
    <row r="21" spans="1:32" x14ac:dyDescent="0.2">
      <c r="A21" s="9" t="s">
        <v>85</v>
      </c>
      <c r="B21" s="11" t="s">
        <v>222</v>
      </c>
      <c r="C21" s="11">
        <v>368029</v>
      </c>
      <c r="D21" s="11">
        <v>1139550</v>
      </c>
      <c r="E21" s="11">
        <v>758006</v>
      </c>
      <c r="F21" s="13">
        <v>897858</v>
      </c>
      <c r="G21" s="13">
        <f>803020+193021</f>
        <v>996041</v>
      </c>
      <c r="H21" s="12">
        <f>563511+135822+324573+77739+111528+26857</f>
        <v>1240030</v>
      </c>
      <c r="I21" s="13">
        <f>534041+128594+307771+73942+155958+37462</f>
        <v>1237768</v>
      </c>
      <c r="J21" s="13">
        <f>628521+148309+336495+79338+189410+33672</f>
        <v>1415745</v>
      </c>
      <c r="K21" s="13">
        <f>630531+140783+380093+89276+208465+47283</f>
        <v>1496431</v>
      </c>
      <c r="L21" s="11">
        <f>695725+164380+927205+218637+275941+65079</f>
        <v>2346967</v>
      </c>
      <c r="M21" s="11">
        <f>1106030+262444+271499+64127+718717+169569</f>
        <v>2592386</v>
      </c>
      <c r="N21" s="11">
        <f>956223+225607+1193245+280479+364653+85996</f>
        <v>3106203</v>
      </c>
      <c r="O21" s="44" t="s">
        <v>263</v>
      </c>
      <c r="P21" s="20"/>
      <c r="S21" s="13">
        <f>139952+2349744</f>
        <v>2489696</v>
      </c>
      <c r="T21" s="13">
        <f>182229+3168821</f>
        <v>3351050</v>
      </c>
      <c r="U21" s="12">
        <f>126285+2714085</f>
        <v>2840370</v>
      </c>
      <c r="V21" s="13">
        <f>114182+2927828+687498</f>
        <v>3729508</v>
      </c>
      <c r="W21" s="13">
        <f>77905+3369880+792513</f>
        <v>4240298</v>
      </c>
      <c r="X21" s="13">
        <f>87136+3682417+866835</f>
        <v>4636388</v>
      </c>
    </row>
    <row r="22" spans="1:32" x14ac:dyDescent="0.2">
      <c r="A22" s="9" t="s">
        <v>100</v>
      </c>
      <c r="B22" s="11" t="s">
        <v>222</v>
      </c>
      <c r="C22" s="11">
        <v>75037</v>
      </c>
      <c r="D22" s="11">
        <v>81948</v>
      </c>
      <c r="E22" s="11">
        <v>74668</v>
      </c>
      <c r="F22" s="13">
        <v>73717</v>
      </c>
      <c r="G22" s="13">
        <v>77664</v>
      </c>
      <c r="H22" s="12">
        <v>74141</v>
      </c>
      <c r="I22" s="13">
        <v>81011</v>
      </c>
      <c r="J22" s="13">
        <v>87401</v>
      </c>
      <c r="K22" s="13">
        <v>88992</v>
      </c>
      <c r="L22" s="11">
        <v>95116</v>
      </c>
      <c r="M22" s="11">
        <v>117357</v>
      </c>
      <c r="N22" s="11" t="s">
        <v>222</v>
      </c>
      <c r="O22" s="44" t="s">
        <v>263</v>
      </c>
      <c r="P22" s="20"/>
      <c r="S22" s="13">
        <f>46925+1195585+287677</f>
        <v>1530187</v>
      </c>
      <c r="T22" s="13">
        <f>85902+1232223+293922</f>
        <v>1612047</v>
      </c>
      <c r="U22" s="12">
        <f>33548+1149732+271180</f>
        <v>1454460</v>
      </c>
      <c r="V22" s="13">
        <f>37076+1461207+344669</f>
        <v>1842952</v>
      </c>
      <c r="W22" s="13">
        <f>26318+1964535+462485</f>
        <v>2453338</v>
      </c>
      <c r="X22" s="13">
        <f>26315+2227947+526641</f>
        <v>2780903</v>
      </c>
    </row>
    <row r="23" spans="1:32" x14ac:dyDescent="0.2">
      <c r="A23" s="9" t="s">
        <v>95</v>
      </c>
      <c r="B23" s="11" t="s">
        <v>222</v>
      </c>
      <c r="C23" s="11" t="s">
        <v>222</v>
      </c>
      <c r="D23" s="11" t="s">
        <v>222</v>
      </c>
      <c r="E23" s="11" t="s">
        <v>222</v>
      </c>
      <c r="F23" s="13" t="s">
        <v>222</v>
      </c>
      <c r="G23" s="13">
        <f>762270+111476+24456</f>
        <v>898202</v>
      </c>
      <c r="H23" s="12" t="s">
        <v>222</v>
      </c>
      <c r="I23" s="13">
        <v>1367960</v>
      </c>
      <c r="J23" s="13">
        <v>1673246</v>
      </c>
      <c r="K23" s="13">
        <v>1962707</v>
      </c>
      <c r="L23" s="11">
        <v>2563557</v>
      </c>
      <c r="M23" s="11">
        <v>3300140</v>
      </c>
      <c r="N23" s="11" t="s">
        <v>222</v>
      </c>
      <c r="O23" s="22" t="s">
        <v>264</v>
      </c>
      <c r="P23" s="20"/>
      <c r="R23" t="s">
        <v>286</v>
      </c>
      <c r="S23" s="84">
        <f>SUM(S7:S22)</f>
        <v>25957338</v>
      </c>
      <c r="T23" s="84">
        <f t="shared" ref="T23:X23" si="1">SUM(T7:T22)</f>
        <v>30421209</v>
      </c>
      <c r="U23" s="84">
        <f t="shared" si="1"/>
        <v>34861955</v>
      </c>
      <c r="V23" s="84">
        <f t="shared" si="1"/>
        <v>38974186</v>
      </c>
      <c r="W23" s="84">
        <f t="shared" si="1"/>
        <v>47832955</v>
      </c>
      <c r="X23" s="84">
        <f t="shared" si="1"/>
        <v>55154434</v>
      </c>
    </row>
    <row r="24" spans="1:32" x14ac:dyDescent="0.2">
      <c r="A24" s="9" t="s">
        <v>104</v>
      </c>
      <c r="B24" s="11" t="s">
        <v>222</v>
      </c>
      <c r="C24" s="11">
        <f>106346+25313+383691+91430</f>
        <v>606780</v>
      </c>
      <c r="D24" s="11">
        <f>420087+99026+148912+34240</f>
        <v>702265</v>
      </c>
      <c r="E24" s="11">
        <f>523381+123249+141457+33357</f>
        <v>821444</v>
      </c>
      <c r="F24" s="13">
        <f>653969+154222+187202+44148</f>
        <v>1039541</v>
      </c>
      <c r="G24" s="13">
        <f>860638+204993+169798+40504</f>
        <v>1275933</v>
      </c>
      <c r="H24" s="12">
        <f>1050270+252907+170+41045</f>
        <v>1344392</v>
      </c>
      <c r="I24" s="13">
        <f>36482+1242585+298875</f>
        <v>1577942</v>
      </c>
      <c r="J24" s="13">
        <f>26400+1593403+385272</f>
        <v>2005075</v>
      </c>
      <c r="K24" s="13">
        <f>26400+1879954+448670</f>
        <v>2355024</v>
      </c>
      <c r="L24" s="11">
        <f>26510+1353008+318254</f>
        <v>1697772</v>
      </c>
      <c r="M24" s="11">
        <f>26384+1539447+361806</f>
        <v>1927637</v>
      </c>
      <c r="N24" s="11">
        <f>26400+1645508+388069</f>
        <v>2059977</v>
      </c>
      <c r="O24" s="44" t="s">
        <v>263</v>
      </c>
      <c r="P24" s="20"/>
      <c r="S24" s="84"/>
      <c r="T24" s="84"/>
      <c r="U24" s="84"/>
      <c r="V24" s="84"/>
      <c r="W24" s="84"/>
      <c r="X24" s="84"/>
    </row>
    <row r="25" spans="1:32" x14ac:dyDescent="0.2">
      <c r="A25" s="9" t="s">
        <v>110</v>
      </c>
      <c r="B25" s="11" t="s">
        <v>222</v>
      </c>
      <c r="C25" s="11">
        <f>299974+70729+130432+10889+30447+2890</f>
        <v>545361</v>
      </c>
      <c r="D25" s="11">
        <f>388047+91417+151671+20448+35224+5277</f>
        <v>692084</v>
      </c>
      <c r="E25" s="11">
        <v>845867</v>
      </c>
      <c r="F25" s="13">
        <v>1336475</v>
      </c>
      <c r="G25" s="13">
        <v>1539649</v>
      </c>
      <c r="H25" s="12">
        <f>1523044+365845</f>
        <v>1888889</v>
      </c>
      <c r="I25" s="13">
        <f>1459061+350323</f>
        <v>1809384</v>
      </c>
      <c r="J25" s="13">
        <f>1717374+403744</f>
        <v>2121118</v>
      </c>
      <c r="K25" s="13">
        <f>2114669+497498</f>
        <v>2612167</v>
      </c>
      <c r="L25" s="11">
        <f>2657297+625375</f>
        <v>3282672</v>
      </c>
      <c r="M25" s="11">
        <f>2413777+560673</f>
        <v>2974450</v>
      </c>
      <c r="N25" s="11">
        <f>2412096+560276</f>
        <v>2972372</v>
      </c>
      <c r="O25" s="44" t="s">
        <v>263</v>
      </c>
      <c r="P25" s="20"/>
      <c r="S25" s="84"/>
      <c r="T25" s="84"/>
      <c r="U25" s="84"/>
      <c r="V25" s="84"/>
      <c r="W25" s="84"/>
      <c r="X25" s="84"/>
    </row>
    <row r="26" spans="1:32" x14ac:dyDescent="0.2">
      <c r="A26" s="9" t="s">
        <v>119</v>
      </c>
      <c r="B26" s="11" t="s">
        <v>222</v>
      </c>
      <c r="C26" s="11">
        <f>121613+28642</f>
        <v>150255</v>
      </c>
      <c r="D26" s="11">
        <f>177409+41688+8837+928</f>
        <v>228862</v>
      </c>
      <c r="E26" s="11">
        <f>611650+119652</f>
        <v>731302</v>
      </c>
      <c r="F26" s="13" t="s">
        <v>222</v>
      </c>
      <c r="G26" s="13">
        <f>879303+213273+264332+61378</f>
        <v>1418286</v>
      </c>
      <c r="H26" s="12">
        <f>787171+188486+329271+79103</f>
        <v>1384031</v>
      </c>
      <c r="I26" s="13">
        <f>879611+554142</f>
        <v>1433753</v>
      </c>
      <c r="J26" s="13">
        <f>747339+666762</f>
        <v>1414101</v>
      </c>
      <c r="K26" s="13">
        <f>619457+774174</f>
        <v>1393631</v>
      </c>
      <c r="L26" s="11">
        <f>693024+936158</f>
        <v>1629182</v>
      </c>
      <c r="M26" s="11">
        <f>1254478+1055501</f>
        <v>2309979</v>
      </c>
      <c r="N26" s="11">
        <f>1964834+1260971</f>
        <v>3225805</v>
      </c>
      <c r="O26" s="22" t="s">
        <v>264</v>
      </c>
      <c r="P26" s="20"/>
    </row>
    <row r="27" spans="1:32" x14ac:dyDescent="0.2">
      <c r="A27" s="9" t="s">
        <v>115</v>
      </c>
      <c r="B27" t="s">
        <v>222</v>
      </c>
      <c r="C27" t="s">
        <v>222</v>
      </c>
      <c r="D27" t="s">
        <v>222</v>
      </c>
      <c r="E27" t="s">
        <v>222</v>
      </c>
      <c r="F27" s="14" t="s">
        <v>222</v>
      </c>
      <c r="G27" s="13">
        <v>0</v>
      </c>
      <c r="H27" s="12">
        <v>0</v>
      </c>
      <c r="I27" s="13">
        <v>0</v>
      </c>
      <c r="J27" s="13">
        <v>0</v>
      </c>
      <c r="K27" s="13">
        <v>0</v>
      </c>
      <c r="L27" s="11">
        <v>0</v>
      </c>
      <c r="M27" s="11">
        <v>0</v>
      </c>
      <c r="N27" s="11">
        <v>0</v>
      </c>
      <c r="O27" s="22" t="s">
        <v>264</v>
      </c>
      <c r="P27" s="20"/>
      <c r="Z27" t="s">
        <v>358</v>
      </c>
    </row>
    <row r="28" spans="1:32" x14ac:dyDescent="0.2">
      <c r="A28" s="9" t="s">
        <v>91</v>
      </c>
      <c r="B28" s="11" t="s">
        <v>222</v>
      </c>
      <c r="C28" s="11">
        <v>627283</v>
      </c>
      <c r="D28" s="11">
        <v>1013675</v>
      </c>
      <c r="E28" s="11">
        <f>930832+189095</f>
        <v>1119927</v>
      </c>
      <c r="F28" s="11">
        <f>2040625+189759</f>
        <v>2230384</v>
      </c>
      <c r="G28" s="13">
        <f>6000+3087487+743739</f>
        <v>3837226</v>
      </c>
      <c r="H28" s="13">
        <f>6000+2592941+623879</f>
        <v>3222820</v>
      </c>
      <c r="I28" s="12">
        <f>13748+3118584+748305</f>
        <v>3880637</v>
      </c>
      <c r="J28" s="13">
        <f>14427+3865496+909364</f>
        <v>4789287</v>
      </c>
      <c r="K28" s="13">
        <f>14315+5508734+1299635</f>
        <v>6822684</v>
      </c>
      <c r="L28" s="13">
        <f>7576995+1784122</f>
        <v>9361117</v>
      </c>
      <c r="M28" s="11">
        <f>9266004+2183130</f>
        <v>11449134</v>
      </c>
      <c r="N28" s="11" t="s">
        <v>222</v>
      </c>
      <c r="O28" s="44" t="s">
        <v>263</v>
      </c>
      <c r="P28" s="20"/>
      <c r="AA28" t="s">
        <v>333</v>
      </c>
      <c r="AB28" t="s">
        <v>332</v>
      </c>
      <c r="AC28" t="s">
        <v>331</v>
      </c>
      <c r="AD28" t="s">
        <v>334</v>
      </c>
      <c r="AE28" t="s">
        <v>335</v>
      </c>
      <c r="AF28" t="s">
        <v>336</v>
      </c>
    </row>
    <row r="29" spans="1:32" x14ac:dyDescent="0.2">
      <c r="A29" s="9" t="s">
        <v>47</v>
      </c>
      <c r="B29" s="11" t="s">
        <v>222</v>
      </c>
      <c r="C29" s="11" t="s">
        <v>222</v>
      </c>
      <c r="D29" s="11">
        <f>64905+3694</f>
        <v>68599</v>
      </c>
      <c r="E29" s="11">
        <f>177033+18421</f>
        <v>195454</v>
      </c>
      <c r="F29" s="11">
        <f>161893+20886</f>
        <v>182779</v>
      </c>
      <c r="G29" s="13">
        <f>403680+70217</f>
        <v>473897</v>
      </c>
      <c r="H29" s="13">
        <f>1043122+195260</f>
        <v>1238382</v>
      </c>
      <c r="I29" s="12">
        <f>1142937+366211</f>
        <v>1509148</v>
      </c>
      <c r="J29" s="13">
        <f>108146+1688995+400414</f>
        <v>2197555</v>
      </c>
      <c r="K29" s="13">
        <f>2341242+576736</f>
        <v>2917978</v>
      </c>
      <c r="L29" s="13">
        <f>567976+1962048</f>
        <v>2530024</v>
      </c>
      <c r="M29" s="11">
        <f>1711692+403792+561761+132519</f>
        <v>2809764</v>
      </c>
      <c r="N29" s="11">
        <f>1999924+472390+759748+179150</f>
        <v>3411212</v>
      </c>
      <c r="O29" s="44" t="s">
        <v>263</v>
      </c>
      <c r="P29" s="20"/>
      <c r="Z29" s="50" t="s">
        <v>360</v>
      </c>
      <c r="AA29" s="89">
        <f>S23/Employees!S31</f>
        <v>12140.943872778298</v>
      </c>
      <c r="AB29" s="89">
        <f>T23/Employees!T31</f>
        <v>13319.268388791594</v>
      </c>
      <c r="AC29" s="89">
        <f>U23/Employees!U31</f>
        <v>14753.260685569192</v>
      </c>
      <c r="AD29" s="89">
        <f>V23/Employees!V31</f>
        <v>15843.165040650407</v>
      </c>
      <c r="AE29" s="89">
        <f>W23/Employees!W31</f>
        <v>17324.503802969939</v>
      </c>
      <c r="AF29" s="89">
        <f>X23/Employees!X31</f>
        <v>19177.480528511824</v>
      </c>
    </row>
    <row r="30" spans="1:32" x14ac:dyDescent="0.2">
      <c r="A30" s="9" t="s">
        <v>52</v>
      </c>
      <c r="B30" s="11" t="s">
        <v>222</v>
      </c>
      <c r="C30" s="11" t="s">
        <v>222</v>
      </c>
      <c r="D30" s="11" t="s">
        <v>222</v>
      </c>
      <c r="E30" s="11" t="s">
        <v>222</v>
      </c>
      <c r="F30" s="11" t="s">
        <v>222</v>
      </c>
      <c r="G30" s="13" t="s">
        <v>222</v>
      </c>
      <c r="H30" s="13" t="s">
        <v>222</v>
      </c>
      <c r="I30" s="12" t="s">
        <v>222</v>
      </c>
      <c r="J30" s="13" t="s">
        <v>222</v>
      </c>
      <c r="K30" s="13" t="s">
        <v>222</v>
      </c>
      <c r="L30" s="13" t="s">
        <v>222</v>
      </c>
      <c r="M30" s="11" t="s">
        <v>222</v>
      </c>
      <c r="N30" s="11" t="s">
        <v>222</v>
      </c>
      <c r="O30" s="22" t="s">
        <v>264</v>
      </c>
      <c r="P30" s="20"/>
      <c r="Z30" s="50" t="s">
        <v>361</v>
      </c>
      <c r="AA30" s="89">
        <f>S56/Employees!S64</f>
        <v>12228.492317969272</v>
      </c>
      <c r="AB30" s="89">
        <f>T56/Employees!T64</f>
        <v>13212.326688102894</v>
      </c>
      <c r="AC30" s="89">
        <f>U56/Employees!U64</f>
        <v>13273.680683311431</v>
      </c>
      <c r="AD30" s="89">
        <f>V56/Employees!V64</f>
        <v>14230.375722543353</v>
      </c>
      <c r="AE30" s="89">
        <f>W56/Employees!W64</f>
        <v>15265.882373232149</v>
      </c>
      <c r="AF30" s="89">
        <f>X56/Employees!X64</f>
        <v>16251.614860014357</v>
      </c>
    </row>
    <row r="31" spans="1:32" x14ac:dyDescent="0.2">
      <c r="A31" s="9" t="s">
        <v>58</v>
      </c>
      <c r="B31" s="11" t="s">
        <v>222</v>
      </c>
      <c r="C31" s="11">
        <f>432092+101663+56301+238664</f>
        <v>828720</v>
      </c>
      <c r="D31" s="11">
        <f>504884+119102+208000+48807</f>
        <v>880793</v>
      </c>
      <c r="E31" s="11" t="s">
        <v>222</v>
      </c>
      <c r="F31" s="11" t="s">
        <v>222</v>
      </c>
      <c r="G31" s="13">
        <f>27073+702952+169619+279</f>
        <v>899923</v>
      </c>
      <c r="H31" s="13">
        <f>27061+737702+177714+252</f>
        <v>942729</v>
      </c>
      <c r="I31" s="12">
        <v>957362</v>
      </c>
      <c r="J31" s="13">
        <v>913335</v>
      </c>
      <c r="K31" s="13">
        <v>943043</v>
      </c>
      <c r="L31" s="13">
        <v>1017789</v>
      </c>
      <c r="M31" s="11">
        <v>1058653</v>
      </c>
      <c r="N31" s="11">
        <v>1342013</v>
      </c>
      <c r="O31" s="44" t="s">
        <v>263</v>
      </c>
      <c r="P31" s="20"/>
      <c r="Z31" s="50" t="s">
        <v>355</v>
      </c>
      <c r="AA31" s="86"/>
      <c r="AB31" s="86"/>
      <c r="AD31" s="85">
        <f>(AD29-$AC$29)/$AC$29</f>
        <v>7.387548951448393E-2</v>
      </c>
      <c r="AE31" s="85">
        <f>(AE29-$AC$29)/$AC$29</f>
        <v>0.17428303967514056</v>
      </c>
      <c r="AF31" s="85">
        <f t="shared" ref="AF31" si="2">(AF29-$AC$29)/$AC$29</f>
        <v>0.29988081531495975</v>
      </c>
    </row>
    <row r="32" spans="1:32" x14ac:dyDescent="0.2">
      <c r="A32" s="9" t="s">
        <v>26</v>
      </c>
      <c r="B32" s="11" t="s">
        <v>222</v>
      </c>
      <c r="C32" s="11" t="s">
        <v>222</v>
      </c>
      <c r="D32" s="11" t="s">
        <v>222</v>
      </c>
      <c r="E32" s="11" t="s">
        <v>222</v>
      </c>
      <c r="F32" s="11" t="s">
        <v>222</v>
      </c>
      <c r="G32" s="13" t="s">
        <v>222</v>
      </c>
      <c r="H32" s="13" t="s">
        <v>222</v>
      </c>
      <c r="I32" s="12" t="s">
        <v>222</v>
      </c>
      <c r="J32" s="13" t="s">
        <v>222</v>
      </c>
      <c r="K32" s="13" t="s">
        <v>222</v>
      </c>
      <c r="L32" s="13" t="s">
        <v>222</v>
      </c>
      <c r="M32" s="11" t="s">
        <v>222</v>
      </c>
      <c r="N32" s="11" t="s">
        <v>222</v>
      </c>
      <c r="O32" s="43" t="s">
        <v>264</v>
      </c>
      <c r="P32" s="20"/>
      <c r="Z32" s="50" t="s">
        <v>356</v>
      </c>
      <c r="AD32" s="85">
        <f>(AD30-$AC$30)/$AC$30</f>
        <v>7.2074585946213326E-2</v>
      </c>
      <c r="AE32" s="85">
        <f t="shared" ref="AE32:AF32" si="3">(AE30-$AC$30)/$AC$30</f>
        <v>0.15008660652997688</v>
      </c>
      <c r="AF32" s="85">
        <f t="shared" si="3"/>
        <v>0.22434878823377041</v>
      </c>
    </row>
    <row r="33" spans="1:32" x14ac:dyDescent="0.2">
      <c r="A33" s="9" t="s">
        <v>69</v>
      </c>
      <c r="B33" s="11" t="s">
        <v>222</v>
      </c>
      <c r="C33" s="11">
        <f>1725234+96113</f>
        <v>1821347</v>
      </c>
      <c r="D33" s="11">
        <f>2052134+125401</f>
        <v>2177535</v>
      </c>
      <c r="E33" s="11">
        <f>67418+2208828</f>
        <v>2276246</v>
      </c>
      <c r="F33" s="11">
        <f>77060+2363595</f>
        <v>2440655</v>
      </c>
      <c r="G33" s="13">
        <f>139952+2349744</f>
        <v>2489696</v>
      </c>
      <c r="H33" s="13">
        <f>182229+3168821</f>
        <v>3351050</v>
      </c>
      <c r="I33" s="12">
        <f>126285+2714085</f>
        <v>2840370</v>
      </c>
      <c r="J33" s="13">
        <f>114182+2927828+687498</f>
        <v>3729508</v>
      </c>
      <c r="K33" s="13">
        <f>77905+3369880+792513</f>
        <v>4240298</v>
      </c>
      <c r="L33" s="13">
        <f>87136+3682417+866835</f>
        <v>4636388</v>
      </c>
      <c r="M33" s="11">
        <f>85026+3952635+930996</f>
        <v>4968657</v>
      </c>
      <c r="N33" s="11">
        <f>96381+4067995+937485</f>
        <v>5101861</v>
      </c>
      <c r="O33" s="44" t="s">
        <v>263</v>
      </c>
      <c r="P33" s="20"/>
      <c r="Z33" s="50" t="s">
        <v>357</v>
      </c>
      <c r="AD33" s="86">
        <f>AD31-AD32</f>
        <v>1.8009035682706037E-3</v>
      </c>
      <c r="AE33" s="86">
        <f t="shared" ref="AE33:AF33" si="4">AE31-AE32</f>
        <v>2.4196433145163676E-2</v>
      </c>
      <c r="AF33" s="86">
        <f t="shared" si="4"/>
        <v>7.5532027081189335E-2</v>
      </c>
    </row>
    <row r="34" spans="1:32" x14ac:dyDescent="0.2">
      <c r="A34" s="9" t="s">
        <v>39</v>
      </c>
      <c r="B34" s="11" t="s">
        <v>260</v>
      </c>
      <c r="C34" s="11" t="s">
        <v>260</v>
      </c>
      <c r="D34" s="11" t="s">
        <v>260</v>
      </c>
      <c r="E34" s="11" t="s">
        <v>260</v>
      </c>
      <c r="F34" s="11" t="s">
        <v>260</v>
      </c>
      <c r="G34" s="13" t="s">
        <v>260</v>
      </c>
      <c r="H34" s="13" t="s">
        <v>222</v>
      </c>
      <c r="I34" s="12" t="s">
        <v>222</v>
      </c>
      <c r="J34" s="13" t="s">
        <v>222</v>
      </c>
      <c r="K34" s="13" t="s">
        <v>222</v>
      </c>
      <c r="L34" s="13" t="s">
        <v>222</v>
      </c>
      <c r="M34" s="11" t="s">
        <v>222</v>
      </c>
      <c r="N34" s="11" t="s">
        <v>222</v>
      </c>
      <c r="O34" s="43" t="s">
        <v>264</v>
      </c>
      <c r="P34" s="20"/>
      <c r="Z34" s="50" t="s">
        <v>359</v>
      </c>
      <c r="AA34" s="95"/>
      <c r="AB34" s="95"/>
      <c r="AC34" s="95">
        <v>14753.260685569192</v>
      </c>
      <c r="AD34" s="95">
        <f>$AC$29+$AC$29*AD32</f>
        <v>15816.595840838139</v>
      </c>
      <c r="AE34" s="95">
        <f>$AC$29+$AC$29*AE32</f>
        <v>16967.527517118393</v>
      </c>
      <c r="AF34" s="95">
        <f t="shared" ref="AF34" si="5">$AC$29+$AC$29*AF32</f>
        <v>18063.136842873566</v>
      </c>
    </row>
    <row r="35" spans="1:32" ht="16" thickBot="1" x14ac:dyDescent="0.25">
      <c r="A35" s="10" t="s">
        <v>63</v>
      </c>
      <c r="B35" s="11" t="s">
        <v>222</v>
      </c>
      <c r="C35" s="11">
        <f>61985</f>
        <v>61985</v>
      </c>
      <c r="D35" s="11">
        <f>173955</f>
        <v>173955</v>
      </c>
      <c r="E35" s="11">
        <f>405370+7974</f>
        <v>413344</v>
      </c>
      <c r="F35" s="11">
        <f>12638+647193</f>
        <v>659831</v>
      </c>
      <c r="G35" s="11">
        <f>16550+889982+214396</f>
        <v>1120928</v>
      </c>
      <c r="H35" s="13">
        <f>46925+1195585+287677</f>
        <v>1530187</v>
      </c>
      <c r="I35" s="13">
        <f>85902+1232223+293922</f>
        <v>1612047</v>
      </c>
      <c r="J35" s="12">
        <f>33548+1149732+271180</f>
        <v>1454460</v>
      </c>
      <c r="K35" s="13">
        <f>37076+1461207+344669</f>
        <v>1842952</v>
      </c>
      <c r="L35" s="13">
        <f>26318+1964535+462485</f>
        <v>2453338</v>
      </c>
      <c r="M35" s="13">
        <f>26315+2227947+526641</f>
        <v>2780903</v>
      </c>
      <c r="N35" s="11" t="s">
        <v>222</v>
      </c>
      <c r="O35" s="44" t="s">
        <v>263</v>
      </c>
      <c r="P35" s="20"/>
    </row>
    <row r="37" spans="1:32" x14ac:dyDescent="0.2">
      <c r="N37" s="26" t="s">
        <v>273</v>
      </c>
      <c r="O37" s="29">
        <f>COUNTIF(O2:O35,"yes")</f>
        <v>19</v>
      </c>
    </row>
    <row r="38" spans="1:32" ht="16" thickBot="1" x14ac:dyDescent="0.25"/>
    <row r="39" spans="1:32" ht="16" thickBot="1" x14ac:dyDescent="0.25">
      <c r="B39" s="2">
        <v>2013</v>
      </c>
      <c r="C39" s="3">
        <f>B39+1</f>
        <v>2014</v>
      </c>
      <c r="D39" s="3">
        <f t="shared" ref="D39:N39" si="6">C39+1</f>
        <v>2015</v>
      </c>
      <c r="E39" s="3">
        <f t="shared" si="6"/>
        <v>2016</v>
      </c>
      <c r="F39" s="3">
        <f t="shared" si="6"/>
        <v>2017</v>
      </c>
      <c r="G39" s="3">
        <f t="shared" si="6"/>
        <v>2018</v>
      </c>
      <c r="H39" s="3">
        <f t="shared" si="6"/>
        <v>2019</v>
      </c>
      <c r="I39" s="3">
        <f t="shared" si="6"/>
        <v>2020</v>
      </c>
      <c r="J39" s="3">
        <f t="shared" si="6"/>
        <v>2021</v>
      </c>
      <c r="K39" s="3">
        <f t="shared" si="6"/>
        <v>2022</v>
      </c>
      <c r="L39" s="3">
        <f t="shared" si="6"/>
        <v>2023</v>
      </c>
      <c r="M39" s="3">
        <f t="shared" si="6"/>
        <v>2024</v>
      </c>
      <c r="N39" s="3">
        <f t="shared" si="6"/>
        <v>2025</v>
      </c>
      <c r="O39" s="24"/>
      <c r="P39" s="24"/>
    </row>
    <row r="40" spans="1:32" ht="16" thickBot="1" x14ac:dyDescent="0.25">
      <c r="A40" s="55"/>
      <c r="B40" s="11"/>
      <c r="C40" s="13"/>
      <c r="D40" s="13"/>
      <c r="E40" s="12"/>
      <c r="F40" s="13"/>
      <c r="G40" s="13"/>
      <c r="H40" s="13"/>
      <c r="I40" s="11"/>
      <c r="J40" s="11"/>
      <c r="K40" s="11"/>
      <c r="L40" s="11"/>
      <c r="M40" s="11"/>
      <c r="N40" s="11"/>
      <c r="O40" s="44" t="s">
        <v>263</v>
      </c>
      <c r="P40" s="55"/>
      <c r="S40" s="24" t="s">
        <v>333</v>
      </c>
      <c r="T40" s="24" t="s">
        <v>332</v>
      </c>
      <c r="U40" s="24" t="s">
        <v>331</v>
      </c>
      <c r="V40" s="24" t="s">
        <v>334</v>
      </c>
      <c r="W40" s="24" t="s">
        <v>335</v>
      </c>
      <c r="X40" s="24" t="s">
        <v>336</v>
      </c>
    </row>
    <row r="41" spans="1:32" x14ac:dyDescent="0.2">
      <c r="A41" s="47" t="s">
        <v>296</v>
      </c>
      <c r="B41" s="11"/>
      <c r="C41" s="13">
        <v>752795</v>
      </c>
      <c r="D41" s="13">
        <v>633915</v>
      </c>
      <c r="E41" s="12">
        <v>752795</v>
      </c>
      <c r="F41" s="13">
        <v>803196</v>
      </c>
      <c r="G41" s="13">
        <v>939876</v>
      </c>
      <c r="H41" s="13">
        <v>860881</v>
      </c>
      <c r="I41" s="11"/>
      <c r="J41" s="11"/>
      <c r="K41" s="11"/>
      <c r="L41" s="11"/>
      <c r="M41" s="11"/>
      <c r="N41" s="11"/>
      <c r="O41" s="78" t="s">
        <v>263</v>
      </c>
      <c r="P41" s="20"/>
      <c r="S41" s="13">
        <v>752795</v>
      </c>
      <c r="T41" s="13">
        <v>633915</v>
      </c>
      <c r="U41" s="12">
        <v>752795</v>
      </c>
      <c r="V41" s="13">
        <v>803196</v>
      </c>
      <c r="W41" s="13">
        <v>939876</v>
      </c>
      <c r="X41" s="13">
        <v>860881</v>
      </c>
    </row>
    <row r="42" spans="1:32" x14ac:dyDescent="0.2">
      <c r="A42" s="6"/>
      <c r="B42" s="11"/>
      <c r="C42" s="13"/>
      <c r="D42" s="13"/>
      <c r="E42" s="12"/>
      <c r="F42" s="13"/>
      <c r="G42" s="13"/>
      <c r="H42" s="13"/>
      <c r="I42" s="11"/>
      <c r="J42" s="11"/>
      <c r="K42" s="11"/>
      <c r="L42" s="11"/>
      <c r="M42" s="11"/>
      <c r="N42" s="11"/>
      <c r="O42" s="43" t="s">
        <v>264</v>
      </c>
      <c r="P42" s="20"/>
      <c r="S42" s="13">
        <v>2651779</v>
      </c>
      <c r="T42" s="13">
        <v>2869174</v>
      </c>
      <c r="U42" s="12">
        <v>2932364</v>
      </c>
      <c r="V42" s="13">
        <v>3011009</v>
      </c>
      <c r="W42" s="13">
        <v>3447944</v>
      </c>
      <c r="X42" s="13">
        <v>3829802</v>
      </c>
    </row>
    <row r="43" spans="1:32" x14ac:dyDescent="0.2">
      <c r="A43" s="6" t="s">
        <v>298</v>
      </c>
      <c r="B43" s="11"/>
      <c r="C43" s="13">
        <v>2651779</v>
      </c>
      <c r="D43" s="13">
        <v>2869174</v>
      </c>
      <c r="E43" s="12">
        <v>2932364</v>
      </c>
      <c r="F43" s="13">
        <v>3011009</v>
      </c>
      <c r="G43" s="13">
        <v>3447944</v>
      </c>
      <c r="H43" s="13">
        <v>3829802</v>
      </c>
      <c r="I43" s="11"/>
      <c r="J43" s="11"/>
      <c r="K43" s="11"/>
      <c r="L43" s="11"/>
      <c r="M43" s="11"/>
      <c r="N43" s="11"/>
      <c r="O43" s="44" t="s">
        <v>263</v>
      </c>
      <c r="P43" s="20"/>
      <c r="S43" s="13">
        <v>2640313</v>
      </c>
      <c r="T43" s="13">
        <v>2493458</v>
      </c>
      <c r="U43" s="12">
        <v>2471892</v>
      </c>
      <c r="V43" s="13">
        <v>2506788</v>
      </c>
      <c r="W43" s="13">
        <v>2662196</v>
      </c>
      <c r="X43" s="13">
        <v>2809893</v>
      </c>
    </row>
    <row r="44" spans="1:32" x14ac:dyDescent="0.2">
      <c r="A44" s="6"/>
      <c r="B44" s="11"/>
      <c r="C44" s="13"/>
      <c r="D44" s="13"/>
      <c r="E44" s="12"/>
      <c r="F44" s="13"/>
      <c r="G44" s="13"/>
      <c r="H44" s="13"/>
      <c r="I44" s="11"/>
      <c r="J44" s="11"/>
      <c r="K44" s="11"/>
      <c r="L44" s="11"/>
      <c r="M44" s="11"/>
      <c r="N44" s="11"/>
      <c r="O44" s="22" t="s">
        <v>264</v>
      </c>
      <c r="P44" s="20"/>
      <c r="S44" s="13">
        <v>3380544</v>
      </c>
      <c r="T44" s="13">
        <v>3889697</v>
      </c>
      <c r="U44" s="12">
        <v>4174625</v>
      </c>
      <c r="V44" s="13">
        <v>5252771</v>
      </c>
      <c r="W44" s="13">
        <v>5549549</v>
      </c>
      <c r="X44" s="13">
        <v>5501939</v>
      </c>
    </row>
    <row r="45" spans="1:32" x14ac:dyDescent="0.2">
      <c r="A45" s="6"/>
      <c r="B45" s="11"/>
      <c r="C45" s="13"/>
      <c r="D45" s="13"/>
      <c r="E45" s="12"/>
      <c r="F45" s="13"/>
      <c r="G45" s="15"/>
      <c r="H45" s="13"/>
      <c r="I45" s="11"/>
      <c r="J45" s="11"/>
      <c r="K45" s="11"/>
      <c r="L45" s="11"/>
      <c r="M45" s="11"/>
      <c r="N45" s="11"/>
      <c r="O45" s="43" t="s">
        <v>264</v>
      </c>
      <c r="P45" s="20"/>
      <c r="S45" s="13">
        <v>181047</v>
      </c>
      <c r="T45" s="13">
        <v>177670</v>
      </c>
      <c r="U45" s="12">
        <v>207522</v>
      </c>
      <c r="V45" s="13">
        <v>316117</v>
      </c>
      <c r="W45" s="13">
        <v>388059</v>
      </c>
      <c r="X45" s="13">
        <v>330253</v>
      </c>
    </row>
    <row r="46" spans="1:32" x14ac:dyDescent="0.2">
      <c r="A46" s="6"/>
      <c r="B46" s="11"/>
      <c r="C46" s="13"/>
      <c r="D46" s="13"/>
      <c r="E46" s="12"/>
      <c r="F46" s="13"/>
      <c r="G46" s="13"/>
      <c r="H46" s="13"/>
      <c r="I46" s="11"/>
      <c r="J46" s="11"/>
      <c r="K46" s="11"/>
      <c r="L46" s="11"/>
      <c r="M46" s="11"/>
      <c r="N46" s="11"/>
      <c r="O46" s="43" t="s">
        <v>264</v>
      </c>
      <c r="P46" s="20"/>
      <c r="S46" s="13">
        <v>6513403</v>
      </c>
      <c r="T46" s="13">
        <v>7852348</v>
      </c>
      <c r="U46" s="12">
        <v>6707053</v>
      </c>
      <c r="V46" s="13">
        <v>6853377</v>
      </c>
      <c r="W46" s="13">
        <v>6135853</v>
      </c>
      <c r="X46" s="13">
        <v>6943181</v>
      </c>
    </row>
    <row r="47" spans="1:32" x14ac:dyDescent="0.2">
      <c r="A47" s="6"/>
      <c r="B47" s="11"/>
      <c r="C47" s="13"/>
      <c r="D47" s="13"/>
      <c r="E47" s="12"/>
      <c r="F47" s="13"/>
      <c r="G47" s="13"/>
      <c r="H47" s="13"/>
      <c r="I47" s="11"/>
      <c r="J47" s="11"/>
      <c r="K47" s="11"/>
      <c r="L47" s="11"/>
      <c r="M47" s="11"/>
      <c r="N47" s="11"/>
      <c r="O47" s="22" t="s">
        <v>264</v>
      </c>
      <c r="P47" s="20"/>
      <c r="S47" s="13">
        <v>554860</v>
      </c>
      <c r="T47" s="13">
        <v>1118711</v>
      </c>
      <c r="U47" s="12">
        <v>1725553</v>
      </c>
      <c r="V47" s="13">
        <v>1835619</v>
      </c>
      <c r="W47" s="13">
        <v>1998244</v>
      </c>
      <c r="X47" s="13">
        <v>1901184</v>
      </c>
    </row>
    <row r="48" spans="1:32" x14ac:dyDescent="0.2">
      <c r="A48" s="53"/>
      <c r="B48" s="11"/>
      <c r="C48" s="13"/>
      <c r="D48" s="13"/>
      <c r="E48" s="12"/>
      <c r="F48" s="13"/>
      <c r="G48" s="13"/>
      <c r="H48" s="13"/>
      <c r="I48" s="11"/>
      <c r="J48" s="11"/>
      <c r="K48" s="11"/>
      <c r="L48" s="11"/>
      <c r="M48" s="11"/>
      <c r="N48" s="11"/>
      <c r="O48" s="44" t="s">
        <v>263</v>
      </c>
      <c r="P48" s="104"/>
      <c r="S48" s="13">
        <v>1163468</v>
      </c>
      <c r="T48" s="13">
        <v>1387079</v>
      </c>
      <c r="U48" s="12">
        <v>1398071</v>
      </c>
      <c r="V48" s="13">
        <v>1202447</v>
      </c>
      <c r="W48" s="13">
        <v>1107705</v>
      </c>
      <c r="X48" s="13">
        <v>1126972</v>
      </c>
    </row>
    <row r="49" spans="1:24" x14ac:dyDescent="0.2">
      <c r="A49" s="6"/>
      <c r="B49" s="11"/>
      <c r="C49" s="13"/>
      <c r="D49" s="13"/>
      <c r="E49" s="12"/>
      <c r="F49" s="13"/>
      <c r="G49" s="13"/>
      <c r="H49" s="13"/>
      <c r="I49" s="11"/>
      <c r="J49" s="11"/>
      <c r="K49" s="11"/>
      <c r="L49" s="11"/>
      <c r="M49" s="11"/>
      <c r="N49" s="11"/>
      <c r="O49" s="22" t="s">
        <v>264</v>
      </c>
      <c r="P49" s="20"/>
      <c r="S49" s="13">
        <v>824543</v>
      </c>
      <c r="T49" s="13">
        <v>802150</v>
      </c>
      <c r="U49" s="12">
        <v>797539</v>
      </c>
      <c r="V49" s="13">
        <v>880978</v>
      </c>
      <c r="W49" s="13">
        <v>1044989</v>
      </c>
      <c r="X49" s="13">
        <v>1250507</v>
      </c>
    </row>
    <row r="50" spans="1:24" x14ac:dyDescent="0.2">
      <c r="A50" s="6" t="s">
        <v>301</v>
      </c>
      <c r="B50" s="11"/>
      <c r="C50" s="11"/>
      <c r="D50" s="13">
        <v>2640313</v>
      </c>
      <c r="E50" s="13">
        <v>2493458</v>
      </c>
      <c r="F50" s="12">
        <v>2471892</v>
      </c>
      <c r="G50" s="13">
        <v>2506788</v>
      </c>
      <c r="H50" s="13">
        <v>2662196</v>
      </c>
      <c r="I50" s="13">
        <v>2809893</v>
      </c>
      <c r="J50" s="11"/>
      <c r="K50" s="11"/>
      <c r="L50" s="11"/>
      <c r="M50" s="11"/>
      <c r="N50" s="11"/>
      <c r="O50" s="44" t="s">
        <v>263</v>
      </c>
      <c r="P50" s="20"/>
      <c r="S50" s="13">
        <v>5363077</v>
      </c>
      <c r="T50" s="13">
        <v>5514364</v>
      </c>
      <c r="U50" s="12">
        <v>5509360</v>
      </c>
      <c r="V50" s="13">
        <v>4892276</v>
      </c>
      <c r="W50" s="13">
        <v>6458716</v>
      </c>
      <c r="X50" s="13">
        <v>6152159</v>
      </c>
    </row>
    <row r="51" spans="1:24" x14ac:dyDescent="0.2">
      <c r="A51" s="6" t="s">
        <v>303</v>
      </c>
      <c r="B51" s="11"/>
      <c r="C51" s="11"/>
      <c r="D51" s="13">
        <v>3380544</v>
      </c>
      <c r="E51" s="13">
        <v>3889697</v>
      </c>
      <c r="F51" s="12">
        <v>4174625</v>
      </c>
      <c r="G51" s="13">
        <v>5252771</v>
      </c>
      <c r="H51" s="13">
        <v>5549549</v>
      </c>
      <c r="I51" s="13">
        <v>5501939</v>
      </c>
      <c r="J51" s="11"/>
      <c r="K51" s="11"/>
      <c r="L51" s="11"/>
      <c r="M51" s="11"/>
      <c r="N51" s="11"/>
      <c r="O51" s="44" t="s">
        <v>263</v>
      </c>
      <c r="P51" s="20"/>
      <c r="S51" s="13">
        <v>5811448</v>
      </c>
      <c r="T51" s="13">
        <v>5854072</v>
      </c>
      <c r="U51" s="12">
        <v>5956452</v>
      </c>
      <c r="V51" s="13">
        <v>5903016</v>
      </c>
      <c r="W51" s="13">
        <v>5962837</v>
      </c>
      <c r="X51" s="13">
        <v>5976099</v>
      </c>
    </row>
    <row r="52" spans="1:24" x14ac:dyDescent="0.2">
      <c r="A52" s="6" t="s">
        <v>304</v>
      </c>
      <c r="B52" s="11"/>
      <c r="C52" s="11"/>
      <c r="D52" s="13">
        <v>181047</v>
      </c>
      <c r="E52" s="13">
        <v>177670</v>
      </c>
      <c r="F52" s="12">
        <v>207522</v>
      </c>
      <c r="G52" s="13">
        <v>316117</v>
      </c>
      <c r="H52" s="13">
        <v>388059</v>
      </c>
      <c r="I52" s="13">
        <v>330253</v>
      </c>
      <c r="J52" s="11"/>
      <c r="K52" s="11"/>
      <c r="L52" s="11"/>
      <c r="M52" s="11"/>
      <c r="N52" s="11"/>
      <c r="O52" s="44" t="s">
        <v>263</v>
      </c>
      <c r="P52" s="20"/>
      <c r="S52" s="13">
        <f>229236+718243+40643</f>
        <v>988122</v>
      </c>
      <c r="T52" s="13">
        <f>240718+724752+40579</f>
        <v>1006049</v>
      </c>
      <c r="U52" s="12">
        <f>883123+283429+43198</f>
        <v>1209750</v>
      </c>
      <c r="V52" s="13">
        <f>920719+288877+26136</f>
        <v>1235732</v>
      </c>
      <c r="W52" s="13">
        <f>957046+271164+18626</f>
        <v>1246836</v>
      </c>
      <c r="X52" s="13">
        <f>851014+263628+21289</f>
        <v>1135931</v>
      </c>
    </row>
    <row r="53" spans="1:24" x14ac:dyDescent="0.2">
      <c r="A53" s="6" t="s">
        <v>306</v>
      </c>
      <c r="B53" s="11"/>
      <c r="C53" s="11"/>
      <c r="D53" s="13">
        <v>6513403</v>
      </c>
      <c r="E53" s="13">
        <v>7852348</v>
      </c>
      <c r="F53" s="12">
        <v>6707053</v>
      </c>
      <c r="G53" s="13">
        <v>6853377</v>
      </c>
      <c r="H53" s="13">
        <v>6135853</v>
      </c>
      <c r="I53" s="13">
        <v>6943181</v>
      </c>
      <c r="J53" s="11"/>
      <c r="K53" s="11"/>
      <c r="L53" s="11"/>
      <c r="M53" s="11"/>
      <c r="N53" s="11"/>
      <c r="O53" s="44" t="s">
        <v>263</v>
      </c>
      <c r="P53" s="20"/>
      <c r="S53" s="13">
        <v>1216541</v>
      </c>
      <c r="T53" s="13">
        <v>1178964</v>
      </c>
      <c r="U53" s="12">
        <v>686952</v>
      </c>
      <c r="V53" s="13">
        <v>583198</v>
      </c>
      <c r="W53" s="13">
        <v>755461</v>
      </c>
      <c r="X53" s="13">
        <v>841730</v>
      </c>
    </row>
    <row r="54" spans="1:24" x14ac:dyDescent="0.2">
      <c r="A54" s="6"/>
      <c r="B54" s="11"/>
      <c r="C54" s="11"/>
      <c r="D54" s="13"/>
      <c r="E54" s="13"/>
      <c r="F54" s="12"/>
      <c r="G54" s="13"/>
      <c r="H54" s="13"/>
      <c r="I54" s="13"/>
      <c r="J54" s="11"/>
      <c r="K54" s="11"/>
      <c r="L54" s="11"/>
      <c r="M54" s="11"/>
      <c r="N54" s="11"/>
      <c r="O54" s="22" t="s">
        <v>264</v>
      </c>
      <c r="P54" s="20"/>
      <c r="S54" s="13">
        <f>60439+4451321</f>
        <v>4511760</v>
      </c>
      <c r="T54" s="13">
        <f>4992147+1188535</f>
        <v>6180682</v>
      </c>
      <c r="U54" s="12">
        <f>4594894+1101969</f>
        <v>5696863</v>
      </c>
      <c r="V54" s="13">
        <f>5168357+1209100</f>
        <v>6377457</v>
      </c>
      <c r="W54" s="13">
        <f>4985607+1174075</f>
        <v>6159682</v>
      </c>
      <c r="X54" s="13">
        <f>5032586+1187256</f>
        <v>6219842</v>
      </c>
    </row>
    <row r="55" spans="1:24" x14ac:dyDescent="0.2">
      <c r="A55" s="6"/>
      <c r="B55" s="11"/>
      <c r="C55" s="11"/>
      <c r="D55" s="13"/>
      <c r="E55" s="13"/>
      <c r="F55" s="12"/>
      <c r="G55" s="13"/>
      <c r="H55" s="13"/>
      <c r="I55" s="13"/>
      <c r="J55" s="11"/>
      <c r="K55" s="11"/>
      <c r="L55" s="11"/>
      <c r="M55" s="11"/>
      <c r="N55" s="11"/>
      <c r="O55" s="22" t="s">
        <v>264</v>
      </c>
      <c r="P55" s="20"/>
      <c r="S55" s="13">
        <f>30014+7230+17054+4108</f>
        <v>58406</v>
      </c>
      <c r="T55" s="13">
        <f>40824+9832+65555+15792</f>
        <v>132003</v>
      </c>
      <c r="U55" s="12">
        <f>144285+34008</f>
        <v>178293</v>
      </c>
      <c r="V55" s="13">
        <v>197554</v>
      </c>
      <c r="W55" s="13">
        <v>397846</v>
      </c>
      <c r="X55" s="13">
        <v>396626</v>
      </c>
    </row>
    <row r="56" spans="1:24" x14ac:dyDescent="0.2">
      <c r="A56" s="6"/>
      <c r="B56" s="11"/>
      <c r="C56" s="11"/>
      <c r="D56" s="13"/>
      <c r="E56" s="13"/>
      <c r="F56" s="12"/>
      <c r="G56" s="13"/>
      <c r="H56" s="13"/>
      <c r="I56" s="13"/>
      <c r="J56" s="11"/>
      <c r="K56" s="11"/>
      <c r="L56" s="11"/>
      <c r="M56" s="11"/>
      <c r="N56" s="11"/>
      <c r="O56" s="22" t="s">
        <v>264</v>
      </c>
      <c r="P56" s="20"/>
      <c r="R56" t="s">
        <v>286</v>
      </c>
      <c r="S56" s="89">
        <f>SUM(S41:S55)</f>
        <v>36612106</v>
      </c>
      <c r="T56" s="89">
        <f t="shared" ref="T56:X56" si="7">SUM(T41:T55)</f>
        <v>41090336</v>
      </c>
      <c r="U56" s="89">
        <f t="shared" si="7"/>
        <v>40405084</v>
      </c>
      <c r="V56" s="89">
        <f t="shared" si="7"/>
        <v>41851535</v>
      </c>
      <c r="W56" s="89">
        <f t="shared" si="7"/>
        <v>44255793</v>
      </c>
      <c r="X56" s="89">
        <f t="shared" si="7"/>
        <v>45276999</v>
      </c>
    </row>
    <row r="57" spans="1:24" x14ac:dyDescent="0.2">
      <c r="A57" t="s">
        <v>309</v>
      </c>
      <c r="B57" s="11"/>
      <c r="C57" s="11"/>
      <c r="D57" s="11"/>
      <c r="E57" s="11"/>
      <c r="F57" s="13">
        <v>554860</v>
      </c>
      <c r="G57" s="13">
        <v>1118711</v>
      </c>
      <c r="H57" s="12">
        <v>1725553</v>
      </c>
      <c r="I57" s="13">
        <v>1835619</v>
      </c>
      <c r="J57" s="13">
        <v>1998244</v>
      </c>
      <c r="K57" s="13">
        <v>1901184</v>
      </c>
      <c r="L57" s="11"/>
      <c r="M57" s="11"/>
      <c r="N57" s="11"/>
      <c r="O57" s="44" t="s">
        <v>263</v>
      </c>
      <c r="P57" s="20"/>
    </row>
    <row r="58" spans="1:24" x14ac:dyDescent="0.2">
      <c r="A58" s="53"/>
      <c r="B58" s="11"/>
      <c r="C58" s="11"/>
      <c r="D58" s="11"/>
      <c r="E58" s="11"/>
      <c r="F58" s="13"/>
      <c r="G58" s="13"/>
      <c r="H58" s="12"/>
      <c r="I58" s="13"/>
      <c r="J58" s="13"/>
      <c r="K58" s="13"/>
      <c r="L58" s="11"/>
      <c r="M58" s="11"/>
      <c r="N58" s="11"/>
      <c r="O58" s="45" t="s">
        <v>263</v>
      </c>
      <c r="P58" s="104"/>
    </row>
    <row r="59" spans="1:24" x14ac:dyDescent="0.2">
      <c r="A59" s="6" t="s">
        <v>311</v>
      </c>
      <c r="B59" s="11"/>
      <c r="C59" s="11"/>
      <c r="D59" s="11"/>
      <c r="E59" s="11"/>
      <c r="F59" s="13">
        <v>1163468</v>
      </c>
      <c r="G59" s="13">
        <v>1387079</v>
      </c>
      <c r="H59" s="12">
        <v>1398071</v>
      </c>
      <c r="I59" s="13">
        <v>1202447</v>
      </c>
      <c r="J59" s="13">
        <v>1107705</v>
      </c>
      <c r="K59" s="13">
        <v>1126972</v>
      </c>
      <c r="L59" s="11"/>
      <c r="M59" s="11"/>
      <c r="N59" s="11"/>
      <c r="O59" s="44" t="s">
        <v>263</v>
      </c>
      <c r="P59" s="20"/>
    </row>
    <row r="60" spans="1:24" x14ac:dyDescent="0.2">
      <c r="A60" s="53"/>
      <c r="B60" s="11"/>
      <c r="C60" s="11"/>
      <c r="D60" s="11"/>
      <c r="E60" s="11"/>
      <c r="F60" s="13"/>
      <c r="G60" s="13"/>
      <c r="H60" s="12"/>
      <c r="I60" s="13"/>
      <c r="J60" s="13"/>
      <c r="K60" s="13"/>
      <c r="L60" s="11"/>
      <c r="M60" s="11"/>
      <c r="N60" s="11"/>
      <c r="O60" s="44" t="s">
        <v>263</v>
      </c>
      <c r="P60" s="20" t="s">
        <v>348</v>
      </c>
      <c r="Q60" s="53"/>
    </row>
    <row r="61" spans="1:24" x14ac:dyDescent="0.2">
      <c r="A61" s="6"/>
      <c r="B61" s="11"/>
      <c r="C61" s="11"/>
      <c r="D61" s="11"/>
      <c r="E61" s="11"/>
      <c r="F61" s="13"/>
      <c r="G61" s="13"/>
      <c r="H61" s="12"/>
      <c r="I61" s="13"/>
      <c r="J61" s="13"/>
      <c r="K61" s="13"/>
      <c r="L61" s="11"/>
      <c r="M61" s="11"/>
      <c r="N61" s="11"/>
      <c r="O61" s="22" t="s">
        <v>264</v>
      </c>
      <c r="P61" s="20"/>
    </row>
    <row r="62" spans="1:24" x14ac:dyDescent="0.2">
      <c r="A62" s="6" t="s">
        <v>315</v>
      </c>
      <c r="B62" s="11"/>
      <c r="C62" s="11"/>
      <c r="D62" s="11"/>
      <c r="E62" s="11"/>
      <c r="F62" s="13">
        <v>824543</v>
      </c>
      <c r="G62" s="13">
        <v>802150</v>
      </c>
      <c r="H62" s="12">
        <v>797539</v>
      </c>
      <c r="I62" s="13">
        <v>880978</v>
      </c>
      <c r="J62" s="13">
        <v>1044989</v>
      </c>
      <c r="K62" s="13">
        <v>1250507</v>
      </c>
      <c r="L62" s="11"/>
      <c r="M62" s="11"/>
      <c r="N62" s="11"/>
      <c r="O62" s="44" t="s">
        <v>263</v>
      </c>
      <c r="P62" s="20"/>
    </row>
    <row r="63" spans="1:24" x14ac:dyDescent="0.2">
      <c r="A63" s="6" t="s">
        <v>317</v>
      </c>
      <c r="B63" s="11"/>
      <c r="C63" s="11"/>
      <c r="D63" s="11"/>
      <c r="E63" s="11"/>
      <c r="F63" s="13">
        <v>5363077</v>
      </c>
      <c r="G63" s="13">
        <v>5514364</v>
      </c>
      <c r="H63" s="12">
        <v>5509360</v>
      </c>
      <c r="I63" s="13">
        <v>4892276</v>
      </c>
      <c r="J63" s="13">
        <v>6458716</v>
      </c>
      <c r="K63" s="13">
        <v>6152159</v>
      </c>
      <c r="L63" s="11"/>
      <c r="M63" s="11"/>
      <c r="N63" s="11"/>
      <c r="O63" s="44" t="s">
        <v>263</v>
      </c>
      <c r="P63" s="20"/>
    </row>
    <row r="64" spans="1:24" x14ac:dyDescent="0.2">
      <c r="A64" s="6"/>
      <c r="B64" s="11"/>
      <c r="C64" s="11"/>
      <c r="D64" s="11"/>
      <c r="E64" s="11"/>
      <c r="F64" s="13"/>
      <c r="G64" s="13"/>
      <c r="H64" s="12"/>
      <c r="I64" s="13"/>
      <c r="J64" s="13"/>
      <c r="K64" s="13"/>
      <c r="L64" s="11"/>
      <c r="M64" s="11"/>
      <c r="N64" s="11"/>
      <c r="O64" s="22" t="s">
        <v>264</v>
      </c>
      <c r="P64" s="20"/>
    </row>
    <row r="65" spans="1:16" x14ac:dyDescent="0.2">
      <c r="A65" s="6"/>
      <c r="F65" s="14"/>
      <c r="G65" s="13"/>
      <c r="H65" s="12"/>
      <c r="I65" s="13"/>
      <c r="J65" s="13"/>
      <c r="K65" s="13"/>
      <c r="L65" s="11"/>
      <c r="M65" s="11"/>
      <c r="N65" s="11"/>
      <c r="O65" s="22" t="s">
        <v>264</v>
      </c>
      <c r="P65" s="20"/>
    </row>
    <row r="66" spans="1:16" x14ac:dyDescent="0.2">
      <c r="A66" s="6" t="s">
        <v>319</v>
      </c>
      <c r="B66" s="11"/>
      <c r="C66" s="11"/>
      <c r="D66" s="11"/>
      <c r="E66" s="11"/>
      <c r="F66" s="11"/>
      <c r="G66" s="13">
        <v>5811448</v>
      </c>
      <c r="H66" s="13">
        <v>5854072</v>
      </c>
      <c r="I66" s="12">
        <v>5956452</v>
      </c>
      <c r="J66" s="13">
        <v>5903016</v>
      </c>
      <c r="K66" s="13">
        <v>5962837</v>
      </c>
      <c r="L66" s="13">
        <v>5976099</v>
      </c>
      <c r="M66" s="11"/>
      <c r="N66" s="11"/>
      <c r="O66" s="44" t="s">
        <v>263</v>
      </c>
      <c r="P66" s="20"/>
    </row>
    <row r="67" spans="1:16" x14ac:dyDescent="0.2">
      <c r="A67" s="6" t="s">
        <v>320</v>
      </c>
      <c r="B67" s="11"/>
      <c r="C67" s="11"/>
      <c r="D67" s="11"/>
      <c r="E67" s="11"/>
      <c r="F67" s="11"/>
      <c r="G67" s="13">
        <f>229236+718243+40643</f>
        <v>988122</v>
      </c>
      <c r="H67" s="13">
        <f>240718+724752+40579</f>
        <v>1006049</v>
      </c>
      <c r="I67" s="12">
        <f>883123+283429+43198</f>
        <v>1209750</v>
      </c>
      <c r="J67" s="13">
        <f>920719+288877+26136</f>
        <v>1235732</v>
      </c>
      <c r="K67" s="13">
        <f>957046+271164+18626</f>
        <v>1246836</v>
      </c>
      <c r="L67" s="13">
        <f>851014+263628+21289</f>
        <v>1135931</v>
      </c>
      <c r="M67" s="11"/>
      <c r="N67" s="11"/>
      <c r="O67" s="44" t="s">
        <v>263</v>
      </c>
      <c r="P67" s="20"/>
    </row>
    <row r="68" spans="1:16" x14ac:dyDescent="0.2">
      <c r="A68" s="6"/>
      <c r="B68" s="11"/>
      <c r="C68" s="11"/>
      <c r="D68" s="11"/>
      <c r="E68" s="11"/>
      <c r="F68" s="11"/>
      <c r="G68" s="13"/>
      <c r="H68" s="13"/>
      <c r="I68" s="12"/>
      <c r="J68" s="13"/>
      <c r="K68" s="13"/>
      <c r="L68" s="13"/>
      <c r="M68" s="11"/>
      <c r="N68" s="11"/>
      <c r="O68" s="22" t="s">
        <v>264</v>
      </c>
      <c r="P68" s="20"/>
    </row>
    <row r="69" spans="1:16" x14ac:dyDescent="0.2">
      <c r="A69" t="s">
        <v>323</v>
      </c>
      <c r="B69" s="11"/>
      <c r="C69" s="11"/>
      <c r="D69" s="11"/>
      <c r="E69" s="11"/>
      <c r="F69" s="11"/>
      <c r="G69" s="13">
        <v>1216541</v>
      </c>
      <c r="H69" s="13">
        <v>1178964</v>
      </c>
      <c r="I69" s="12">
        <v>686952</v>
      </c>
      <c r="J69" s="13">
        <v>583198</v>
      </c>
      <c r="K69" s="13">
        <v>755461</v>
      </c>
      <c r="L69" s="13">
        <v>841730</v>
      </c>
      <c r="M69" s="11"/>
      <c r="N69" s="11"/>
      <c r="O69" s="44" t="s">
        <v>263</v>
      </c>
      <c r="P69" s="20"/>
    </row>
    <row r="70" spans="1:16" x14ac:dyDescent="0.2">
      <c r="A70" s="6"/>
      <c r="B70" s="11"/>
      <c r="C70" s="11"/>
      <c r="D70" s="11"/>
      <c r="E70" s="11"/>
      <c r="F70" s="11"/>
      <c r="G70" s="13"/>
      <c r="H70" s="13"/>
      <c r="I70" s="12"/>
      <c r="J70" s="13"/>
      <c r="K70" s="13"/>
      <c r="L70" s="13"/>
      <c r="M70" s="11"/>
      <c r="N70" s="11"/>
      <c r="O70" s="43" t="s">
        <v>264</v>
      </c>
      <c r="P70" s="20"/>
    </row>
    <row r="71" spans="1:16" x14ac:dyDescent="0.2">
      <c r="A71" s="6" t="s">
        <v>324</v>
      </c>
      <c r="B71" s="11"/>
      <c r="C71" s="11"/>
      <c r="D71" s="11"/>
      <c r="E71" s="11"/>
      <c r="F71" s="11"/>
      <c r="G71" s="13">
        <f>60439+4451321</f>
        <v>4511760</v>
      </c>
      <c r="H71" s="13">
        <f>4992147+1188535</f>
        <v>6180682</v>
      </c>
      <c r="I71" s="12">
        <f>4594894+1101969</f>
        <v>5696863</v>
      </c>
      <c r="J71" s="13">
        <f>5168357+1209100</f>
        <v>6377457</v>
      </c>
      <c r="K71" s="13">
        <f>4985607+1174075</f>
        <v>6159682</v>
      </c>
      <c r="L71" s="13">
        <f>5032586+1187256</f>
        <v>6219842</v>
      </c>
      <c r="M71" s="11"/>
      <c r="N71" s="11"/>
      <c r="O71" s="44" t="s">
        <v>263</v>
      </c>
      <c r="P71" s="20"/>
    </row>
    <row r="72" spans="1:16" x14ac:dyDescent="0.2">
      <c r="A72" s="6"/>
      <c r="B72" s="11"/>
      <c r="C72" s="11"/>
      <c r="D72" s="11"/>
      <c r="E72" s="11"/>
      <c r="F72" s="11"/>
      <c r="G72" s="13"/>
      <c r="H72" s="13"/>
      <c r="I72" s="12"/>
      <c r="J72" s="13"/>
      <c r="K72" s="13"/>
      <c r="L72" s="13"/>
      <c r="M72" s="11"/>
      <c r="N72" s="11"/>
      <c r="O72" s="43" t="s">
        <v>264</v>
      </c>
      <c r="P72" s="20"/>
    </row>
    <row r="73" spans="1:16" ht="16" thickBot="1" x14ac:dyDescent="0.25">
      <c r="A73" s="7" t="s">
        <v>325</v>
      </c>
      <c r="B73" s="11"/>
      <c r="C73" s="11"/>
      <c r="D73" s="11"/>
      <c r="E73" s="11"/>
      <c r="F73" s="11"/>
      <c r="G73" s="11"/>
      <c r="H73" s="13">
        <f>30014+7230+17054+4108</f>
        <v>58406</v>
      </c>
      <c r="I73" s="13">
        <f>40824+9832+65555+15792</f>
        <v>132003</v>
      </c>
      <c r="J73" s="12">
        <f>144285+34008</f>
        <v>178293</v>
      </c>
      <c r="K73" s="13">
        <v>197554</v>
      </c>
      <c r="L73" s="13">
        <v>397846</v>
      </c>
      <c r="M73" s="13">
        <v>396626</v>
      </c>
      <c r="N73" s="11"/>
      <c r="O73" s="44" t="s">
        <v>263</v>
      </c>
      <c r="P73" s="20"/>
    </row>
  </sheetData>
  <dataValidations count="1">
    <dataValidation type="list" allowBlank="1" showInputMessage="1" showErrorMessage="1" sqref="O4:O35 O2 O42:O73 O40" xr:uid="{BF3B7152-B38C-3047-9FC0-98D883C6A350}">
      <formula1>"Yes,No,IDK"</formula1>
    </dataValidation>
  </dataValidation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383FB-7B51-A046-B61F-DCED5EDFFA17}">
  <dimension ref="A1:BR75"/>
  <sheetViews>
    <sheetView topLeftCell="AE2" zoomScale="75" workbookViewId="0">
      <selection activeCell="BG53" sqref="BG53"/>
    </sheetView>
  </sheetViews>
  <sheetFormatPr baseColWidth="10" defaultRowHeight="15" x14ac:dyDescent="0.2"/>
  <sheetData>
    <row r="1" spans="1:70" x14ac:dyDescent="0.2">
      <c r="A1" t="s">
        <v>330</v>
      </c>
      <c r="S1" t="s">
        <v>277</v>
      </c>
      <c r="AK1" t="s">
        <v>341</v>
      </c>
      <c r="BC1" t="s">
        <v>278</v>
      </c>
    </row>
    <row r="2" spans="1:70" ht="16" thickBot="1" x14ac:dyDescent="0.25"/>
    <row r="3" spans="1:70" ht="16" thickBot="1" x14ac:dyDescent="0.25">
      <c r="A3" t="s">
        <v>219</v>
      </c>
      <c r="B3" s="2">
        <v>2025</v>
      </c>
      <c r="C3" s="3">
        <v>2024</v>
      </c>
      <c r="D3" s="3">
        <f>C3-1</f>
        <v>2023</v>
      </c>
      <c r="E3" s="3">
        <f t="shared" ref="E3:N3" si="0">D3-1</f>
        <v>2022</v>
      </c>
      <c r="F3" s="3">
        <f t="shared" si="0"/>
        <v>2021</v>
      </c>
      <c r="G3" s="3">
        <f t="shared" si="0"/>
        <v>2020</v>
      </c>
      <c r="H3" s="3">
        <f t="shared" si="0"/>
        <v>2019</v>
      </c>
      <c r="I3" s="3">
        <f t="shared" si="0"/>
        <v>2018</v>
      </c>
      <c r="J3" s="3">
        <f t="shared" si="0"/>
        <v>2017</v>
      </c>
      <c r="K3" s="3">
        <f t="shared" si="0"/>
        <v>2016</v>
      </c>
      <c r="L3" s="3">
        <f t="shared" si="0"/>
        <v>2015</v>
      </c>
      <c r="M3" s="3">
        <f t="shared" si="0"/>
        <v>2014</v>
      </c>
      <c r="N3" s="3">
        <f t="shared" si="0"/>
        <v>2013</v>
      </c>
      <c r="O3" s="24" t="s">
        <v>262</v>
      </c>
      <c r="P3" s="24" t="s">
        <v>224</v>
      </c>
      <c r="S3" s="50" t="s">
        <v>250</v>
      </c>
      <c r="T3" s="64">
        <v>2025</v>
      </c>
      <c r="U3" s="65">
        <v>2024</v>
      </c>
      <c r="V3" s="65">
        <v>2023</v>
      </c>
      <c r="W3" s="65">
        <v>2022</v>
      </c>
      <c r="X3" s="65">
        <v>2021</v>
      </c>
      <c r="Y3" s="65">
        <v>2020</v>
      </c>
      <c r="Z3" s="65">
        <v>2019</v>
      </c>
      <c r="AA3" s="65">
        <v>2018</v>
      </c>
      <c r="AB3" s="65">
        <v>2017</v>
      </c>
      <c r="AC3" s="65">
        <v>2016</v>
      </c>
      <c r="AD3" s="65">
        <v>2015</v>
      </c>
      <c r="AE3" s="65">
        <v>2014</v>
      </c>
      <c r="AF3" s="66">
        <v>2013</v>
      </c>
      <c r="AG3" s="67" t="s">
        <v>262</v>
      </c>
      <c r="AH3" s="68" t="s">
        <v>224</v>
      </c>
      <c r="AK3" s="50" t="s">
        <v>248</v>
      </c>
      <c r="AL3" s="64">
        <v>2025</v>
      </c>
      <c r="AM3" s="65">
        <v>2024</v>
      </c>
      <c r="AN3" s="65">
        <v>2023</v>
      </c>
      <c r="AO3" s="65">
        <v>2022</v>
      </c>
      <c r="AP3" s="65">
        <v>2021</v>
      </c>
      <c r="AQ3" s="65">
        <v>2020</v>
      </c>
      <c r="AR3" s="65">
        <v>2019</v>
      </c>
      <c r="AS3" s="65">
        <v>2018</v>
      </c>
      <c r="AT3" s="65">
        <v>2017</v>
      </c>
      <c r="AU3" s="65">
        <v>2016</v>
      </c>
      <c r="AV3" s="65">
        <v>2015</v>
      </c>
      <c r="AW3" s="65">
        <v>2014</v>
      </c>
      <c r="AX3" s="66">
        <v>2013</v>
      </c>
      <c r="AY3" s="67" t="s">
        <v>262</v>
      </c>
      <c r="AZ3" s="68" t="s">
        <v>224</v>
      </c>
      <c r="BC3" s="50" t="s">
        <v>249</v>
      </c>
      <c r="BD3" s="64">
        <v>2025</v>
      </c>
      <c r="BE3" s="65">
        <v>2024</v>
      </c>
      <c r="BF3" s="65">
        <v>2023</v>
      </c>
      <c r="BG3" s="65">
        <v>2022</v>
      </c>
      <c r="BH3" s="65">
        <v>2021</v>
      </c>
      <c r="BI3" s="65">
        <v>2020</v>
      </c>
      <c r="BJ3" s="65">
        <v>2019</v>
      </c>
      <c r="BK3" s="65">
        <v>2018</v>
      </c>
      <c r="BL3" s="65">
        <v>2017</v>
      </c>
      <c r="BM3" s="65">
        <v>2016</v>
      </c>
      <c r="BN3" s="65">
        <v>2015</v>
      </c>
      <c r="BO3" s="65">
        <v>2014</v>
      </c>
      <c r="BP3" s="66">
        <v>2013</v>
      </c>
      <c r="BQ3" s="67" t="s">
        <v>262</v>
      </c>
      <c r="BR3" s="68" t="s">
        <v>224</v>
      </c>
    </row>
    <row r="4" spans="1:70" x14ac:dyDescent="0.2">
      <c r="A4" s="5" t="str">
        <f>'Firm list'!B4</f>
        <v>Ventspils Brīvostas pārvalde</v>
      </c>
      <c r="B4" s="11">
        <v>75</v>
      </c>
      <c r="C4" s="11">
        <v>73</v>
      </c>
      <c r="D4" s="11">
        <v>75</v>
      </c>
      <c r="E4" s="11">
        <v>114</v>
      </c>
      <c r="F4" s="11">
        <v>117</v>
      </c>
      <c r="G4" s="11">
        <v>115</v>
      </c>
      <c r="H4" s="13">
        <v>105</v>
      </c>
      <c r="I4" s="13">
        <v>105</v>
      </c>
      <c r="J4" s="13">
        <v>96</v>
      </c>
      <c r="K4" s="12">
        <v>90</v>
      </c>
      <c r="L4" s="13">
        <v>80</v>
      </c>
      <c r="M4" s="13">
        <v>80</v>
      </c>
      <c r="N4" s="11">
        <v>80</v>
      </c>
      <c r="O4" s="46" t="s">
        <v>263</v>
      </c>
      <c r="P4" s="23"/>
      <c r="S4" s="8" t="s">
        <v>123</v>
      </c>
      <c r="T4" s="56">
        <v>-825026</v>
      </c>
      <c r="U4" s="56">
        <v>-525339</v>
      </c>
      <c r="V4" s="56">
        <v>-818767</v>
      </c>
      <c r="W4" s="56">
        <v>-879762</v>
      </c>
      <c r="X4" s="56">
        <v>-528266</v>
      </c>
      <c r="Y4" s="56">
        <v>-73852</v>
      </c>
      <c r="Z4" s="57">
        <v>-130080</v>
      </c>
      <c r="AA4" s="57">
        <v>-428275</v>
      </c>
      <c r="AB4" s="57">
        <v>-500917</v>
      </c>
      <c r="AC4" s="58">
        <v>-584561</v>
      </c>
      <c r="AD4" s="57">
        <v>-1866881</v>
      </c>
      <c r="AE4" s="57">
        <v>-1204130</v>
      </c>
      <c r="AF4" s="56">
        <v>208947</v>
      </c>
      <c r="AG4" s="69" t="s">
        <v>263</v>
      </c>
      <c r="AH4" s="70"/>
      <c r="AK4" s="8" t="s">
        <v>123</v>
      </c>
      <c r="AL4" s="56">
        <v>9925685</v>
      </c>
      <c r="AM4" s="56">
        <v>9912444</v>
      </c>
      <c r="AN4" s="56">
        <v>11343302</v>
      </c>
      <c r="AO4" s="56">
        <v>16995344</v>
      </c>
      <c r="AP4" s="56">
        <v>15503276</v>
      </c>
      <c r="AQ4" s="56">
        <v>10664294</v>
      </c>
      <c r="AR4" s="57">
        <v>11083959</v>
      </c>
      <c r="AS4" s="57">
        <v>9996824</v>
      </c>
      <c r="AT4" s="57">
        <v>9215175</v>
      </c>
      <c r="AU4" s="58">
        <v>7055932</v>
      </c>
      <c r="AV4" s="57">
        <v>6952182</v>
      </c>
      <c r="AW4" s="57">
        <v>5820104</v>
      </c>
      <c r="AX4" s="56">
        <v>5832316</v>
      </c>
      <c r="AY4" s="76" t="s">
        <v>263</v>
      </c>
      <c r="AZ4" s="70"/>
      <c r="BC4" s="8" t="s">
        <v>123</v>
      </c>
      <c r="BD4" s="56">
        <v>1483603</v>
      </c>
      <c r="BE4" s="56">
        <v>1371206</v>
      </c>
      <c r="BF4" s="56">
        <v>1351138</v>
      </c>
      <c r="BG4" s="56">
        <v>1648108</v>
      </c>
      <c r="BH4" s="56">
        <v>1505469</v>
      </c>
      <c r="BI4" s="56">
        <v>1295671</v>
      </c>
      <c r="BJ4" s="57">
        <v>1238549</v>
      </c>
      <c r="BK4" s="57">
        <v>1166656</v>
      </c>
      <c r="BL4" s="57">
        <v>850287</v>
      </c>
      <c r="BM4" s="58">
        <v>567510</v>
      </c>
      <c r="BN4" s="57">
        <v>458569</v>
      </c>
      <c r="BO4" s="57">
        <v>338984</v>
      </c>
      <c r="BP4" s="56" t="s">
        <v>260</v>
      </c>
      <c r="BQ4" s="79" t="s">
        <v>263</v>
      </c>
      <c r="BR4" s="70"/>
    </row>
    <row r="5" spans="1:70" x14ac:dyDescent="0.2">
      <c r="A5" s="6" t="str">
        <f>'Firm list'!B5</f>
        <v>Tukuma Piens</v>
      </c>
      <c r="B5" s="11" t="s">
        <v>222</v>
      </c>
      <c r="C5" s="11">
        <v>63</v>
      </c>
      <c r="D5" s="11">
        <v>63</v>
      </c>
      <c r="E5" s="11">
        <v>59</v>
      </c>
      <c r="F5" s="11">
        <v>61</v>
      </c>
      <c r="G5" s="11">
        <v>58</v>
      </c>
      <c r="H5" s="13">
        <v>49</v>
      </c>
      <c r="I5" s="13">
        <v>44</v>
      </c>
      <c r="J5" s="13">
        <v>38</v>
      </c>
      <c r="K5" s="12">
        <v>37</v>
      </c>
      <c r="L5" s="13">
        <v>38</v>
      </c>
      <c r="M5" s="13">
        <v>33</v>
      </c>
      <c r="N5" s="11">
        <v>31</v>
      </c>
      <c r="O5" s="44" t="s">
        <v>263</v>
      </c>
      <c r="P5" s="20"/>
      <c r="S5" s="9" t="s">
        <v>129</v>
      </c>
      <c r="T5" s="56" t="s">
        <v>260</v>
      </c>
      <c r="U5" s="56">
        <v>-3506903</v>
      </c>
      <c r="V5" s="56">
        <v>-398215</v>
      </c>
      <c r="W5" s="56">
        <v>-412218</v>
      </c>
      <c r="X5" s="56">
        <v>-507376</v>
      </c>
      <c r="Y5" s="56">
        <v>-318539</v>
      </c>
      <c r="Z5" s="57">
        <v>-151774</v>
      </c>
      <c r="AA5" s="57" t="s">
        <v>260</v>
      </c>
      <c r="AB5" s="57" t="s">
        <v>260</v>
      </c>
      <c r="AC5" s="58" t="s">
        <v>260</v>
      </c>
      <c r="AD5" s="57">
        <v>-196678</v>
      </c>
      <c r="AE5" s="57">
        <v>-302334</v>
      </c>
      <c r="AF5" s="56">
        <v>-31162</v>
      </c>
      <c r="AG5" s="71" t="s">
        <v>264</v>
      </c>
      <c r="AH5" s="70"/>
      <c r="AK5" s="9" t="s">
        <v>129</v>
      </c>
      <c r="AL5" s="56" t="s">
        <v>260</v>
      </c>
      <c r="AM5" s="56">
        <v>9730508</v>
      </c>
      <c r="AN5" s="56">
        <v>11805053</v>
      </c>
      <c r="AO5" s="56">
        <v>13744869</v>
      </c>
      <c r="AP5" s="56">
        <v>8501770</v>
      </c>
      <c r="AQ5" s="56">
        <v>6756811</v>
      </c>
      <c r="AR5" s="57">
        <v>5519360</v>
      </c>
      <c r="AS5" s="57">
        <v>5409473</v>
      </c>
      <c r="AT5" s="57">
        <v>5409473</v>
      </c>
      <c r="AU5" s="58">
        <v>2945640</v>
      </c>
      <c r="AV5" s="57">
        <v>3093690</v>
      </c>
      <c r="AW5" s="57">
        <v>2142589</v>
      </c>
      <c r="AX5" s="56">
        <v>1129652</v>
      </c>
      <c r="AY5" s="76" t="s">
        <v>263</v>
      </c>
      <c r="AZ5" s="70"/>
      <c r="BC5" s="9" t="s">
        <v>129</v>
      </c>
      <c r="BD5" s="56" t="s">
        <v>260</v>
      </c>
      <c r="BE5" s="56">
        <v>2139664</v>
      </c>
      <c r="BF5" s="56">
        <v>2258739</v>
      </c>
      <c r="BG5" s="56">
        <v>1830471</v>
      </c>
      <c r="BH5" s="56">
        <v>1513475</v>
      </c>
      <c r="BI5" s="56">
        <v>1549274</v>
      </c>
      <c r="BJ5" s="57">
        <v>1174102</v>
      </c>
      <c r="BK5" s="57">
        <v>1058997</v>
      </c>
      <c r="BL5" s="57">
        <v>813666</v>
      </c>
      <c r="BM5" s="58">
        <v>740343</v>
      </c>
      <c r="BN5" s="57">
        <v>739499</v>
      </c>
      <c r="BO5" s="57">
        <v>523637</v>
      </c>
      <c r="BP5" s="56" t="s">
        <v>260</v>
      </c>
      <c r="BQ5" s="80" t="s">
        <v>263</v>
      </c>
      <c r="BR5" s="69"/>
    </row>
    <row r="6" spans="1:70" x14ac:dyDescent="0.2">
      <c r="A6" s="6" t="str">
        <f>'Firm list'!B6</f>
        <v>Vecās Ostmalas Biznesa Parks</v>
      </c>
      <c r="B6" s="11" t="s">
        <v>222</v>
      </c>
      <c r="C6" s="11">
        <v>182</v>
      </c>
      <c r="D6" s="11">
        <v>178</v>
      </c>
      <c r="E6" s="11">
        <v>185</v>
      </c>
      <c r="F6" s="11">
        <v>212</v>
      </c>
      <c r="G6" s="11">
        <v>237</v>
      </c>
      <c r="H6" s="13">
        <v>269</v>
      </c>
      <c r="I6" s="13">
        <v>275</v>
      </c>
      <c r="J6" s="13" t="s">
        <v>222</v>
      </c>
      <c r="K6" s="12" t="s">
        <v>222</v>
      </c>
      <c r="L6" s="13" t="s">
        <v>222</v>
      </c>
      <c r="M6" s="13" t="s">
        <v>222</v>
      </c>
      <c r="N6" s="11" t="s">
        <v>222</v>
      </c>
      <c r="O6" s="43" t="s">
        <v>264</v>
      </c>
      <c r="P6" s="20"/>
      <c r="S6" s="9" t="s">
        <v>144</v>
      </c>
      <c r="T6" s="56">
        <v>-2112381</v>
      </c>
      <c r="U6" s="56">
        <v>-3721279</v>
      </c>
      <c r="V6" s="56">
        <v>-9468935</v>
      </c>
      <c r="W6" s="56">
        <v>-3927398</v>
      </c>
      <c r="X6" s="56">
        <v>-3003604</v>
      </c>
      <c r="Y6" s="56">
        <v>-6391471</v>
      </c>
      <c r="Z6" s="57">
        <v>-21337630</v>
      </c>
      <c r="AA6" s="57">
        <v>-20870755</v>
      </c>
      <c r="AB6" s="57" t="s">
        <v>260</v>
      </c>
      <c r="AC6" s="58" t="s">
        <v>260</v>
      </c>
      <c r="AD6" s="57" t="s">
        <v>260</v>
      </c>
      <c r="AE6" s="57" t="s">
        <v>260</v>
      </c>
      <c r="AF6" s="56">
        <v>-19229191</v>
      </c>
      <c r="AG6" s="72" t="s">
        <v>337</v>
      </c>
      <c r="AH6" s="70"/>
      <c r="AK6" s="9" t="s">
        <v>144</v>
      </c>
      <c r="AL6" s="56">
        <v>18221868</v>
      </c>
      <c r="AM6" s="56">
        <v>17462498</v>
      </c>
      <c r="AN6" s="56">
        <v>15082338</v>
      </c>
      <c r="AO6" s="56">
        <v>19754888</v>
      </c>
      <c r="AP6" s="56">
        <v>15281705</v>
      </c>
      <c r="AQ6" s="56">
        <v>15602202</v>
      </c>
      <c r="AR6" s="57">
        <v>23243013</v>
      </c>
      <c r="AS6" s="57">
        <v>21939952</v>
      </c>
      <c r="AT6" s="57">
        <v>21229083</v>
      </c>
      <c r="AU6" s="58">
        <v>20121407</v>
      </c>
      <c r="AV6" s="57">
        <v>21605800</v>
      </c>
      <c r="AW6" s="57">
        <v>24386907</v>
      </c>
      <c r="AX6" s="56">
        <v>17308552</v>
      </c>
      <c r="AY6" s="77" t="s">
        <v>342</v>
      </c>
      <c r="AZ6" s="70"/>
      <c r="BC6" s="9" t="s">
        <v>144</v>
      </c>
      <c r="BD6" s="56">
        <v>5101583</v>
      </c>
      <c r="BE6" s="56">
        <v>6074365</v>
      </c>
      <c r="BF6" s="56">
        <v>5254175</v>
      </c>
      <c r="BG6" s="56">
        <v>4973708</v>
      </c>
      <c r="BH6" s="56">
        <v>5161503</v>
      </c>
      <c r="BI6" s="56">
        <v>5623563</v>
      </c>
      <c r="BJ6" s="57">
        <v>6479286</v>
      </c>
      <c r="BK6" s="57">
        <v>6271518</v>
      </c>
      <c r="BL6" s="57" t="s">
        <v>260</v>
      </c>
      <c r="BM6" s="58" t="s">
        <v>260</v>
      </c>
      <c r="BN6" s="57" t="s">
        <v>260</v>
      </c>
      <c r="BO6" s="57" t="s">
        <v>260</v>
      </c>
      <c r="BP6" s="56" t="s">
        <v>260</v>
      </c>
      <c r="BQ6" s="81" t="s">
        <v>337</v>
      </c>
      <c r="BR6" s="70"/>
    </row>
    <row r="7" spans="1:70" x14ac:dyDescent="0.2">
      <c r="A7" s="6" t="str">
        <f>'Firm list'!B7</f>
        <v>TRAPI</v>
      </c>
      <c r="B7" s="11" t="s">
        <v>222</v>
      </c>
      <c r="C7" s="11">
        <v>225</v>
      </c>
      <c r="D7" s="11">
        <v>215</v>
      </c>
      <c r="E7" s="11">
        <v>192</v>
      </c>
      <c r="F7" s="11">
        <v>220</v>
      </c>
      <c r="G7" s="11">
        <v>215</v>
      </c>
      <c r="H7" s="13">
        <v>209</v>
      </c>
      <c r="I7" s="13">
        <v>211</v>
      </c>
      <c r="J7" s="13">
        <v>205</v>
      </c>
      <c r="K7" s="12">
        <v>217</v>
      </c>
      <c r="L7" s="13">
        <v>249</v>
      </c>
      <c r="M7" s="13">
        <v>245</v>
      </c>
      <c r="N7" s="11">
        <v>245</v>
      </c>
      <c r="O7" s="44" t="s">
        <v>263</v>
      </c>
      <c r="P7" s="20"/>
      <c r="S7" s="9" t="s">
        <v>133</v>
      </c>
      <c r="T7" s="56" t="s">
        <v>260</v>
      </c>
      <c r="U7" s="56">
        <v>-6300366</v>
      </c>
      <c r="V7" s="56">
        <v>-2669876</v>
      </c>
      <c r="W7" s="56">
        <v>-486127</v>
      </c>
      <c r="X7" s="56">
        <v>-1039595</v>
      </c>
      <c r="Y7" s="56">
        <v>-4747020</v>
      </c>
      <c r="Z7" s="57">
        <v>-7235548</v>
      </c>
      <c r="AA7" s="57">
        <v>-2305741</v>
      </c>
      <c r="AB7" s="57">
        <v>-2602981</v>
      </c>
      <c r="AC7" s="58">
        <v>-3198365</v>
      </c>
      <c r="AD7" s="57">
        <v>-1603849</v>
      </c>
      <c r="AE7" s="57">
        <v>-2178797</v>
      </c>
      <c r="AF7" s="56">
        <v>-2836636</v>
      </c>
      <c r="AG7" s="69" t="s">
        <v>263</v>
      </c>
      <c r="AH7" s="70"/>
      <c r="AK7" s="9" t="s">
        <v>133</v>
      </c>
      <c r="AL7" s="56" t="s">
        <v>260</v>
      </c>
      <c r="AM7" s="56">
        <v>94881767</v>
      </c>
      <c r="AN7" s="56">
        <v>88904649</v>
      </c>
      <c r="AO7" s="56">
        <v>76561185</v>
      </c>
      <c r="AP7" s="56">
        <v>65790286</v>
      </c>
      <c r="AQ7" s="56">
        <v>66371774</v>
      </c>
      <c r="AR7" s="57">
        <v>57894764</v>
      </c>
      <c r="AS7" s="57">
        <v>55097643</v>
      </c>
      <c r="AT7" s="57">
        <v>53186134</v>
      </c>
      <c r="AU7" s="58">
        <v>46129720</v>
      </c>
      <c r="AV7" s="57">
        <v>46910324</v>
      </c>
      <c r="AW7" s="57">
        <v>53194916</v>
      </c>
      <c r="AX7" s="56">
        <v>34659059</v>
      </c>
      <c r="AY7" s="76" t="s">
        <v>263</v>
      </c>
      <c r="AZ7" s="70"/>
      <c r="BC7" s="9" t="s">
        <v>133</v>
      </c>
      <c r="BD7" s="56" t="s">
        <v>260</v>
      </c>
      <c r="BE7" s="56">
        <v>5184567</v>
      </c>
      <c r="BF7" s="56">
        <v>4806117</v>
      </c>
      <c r="BG7" s="56">
        <v>4016890</v>
      </c>
      <c r="BH7" s="56">
        <v>4288314</v>
      </c>
      <c r="BI7" s="56">
        <v>4055494</v>
      </c>
      <c r="BJ7" s="57">
        <v>3722845</v>
      </c>
      <c r="BK7" s="57">
        <v>3365089</v>
      </c>
      <c r="BL7" s="57">
        <v>3139804</v>
      </c>
      <c r="BM7" s="58">
        <v>3145921</v>
      </c>
      <c r="BN7" s="57">
        <v>2956365</v>
      </c>
      <c r="BO7" s="57">
        <v>2757012</v>
      </c>
      <c r="BP7" s="56" t="s">
        <v>260</v>
      </c>
      <c r="BQ7" s="76" t="s">
        <v>263</v>
      </c>
      <c r="BR7" s="70"/>
    </row>
    <row r="8" spans="1:70" x14ac:dyDescent="0.2">
      <c r="A8" s="6" t="str">
        <f>'Firm list'!B8</f>
        <v>GP TEHNOPARKI</v>
      </c>
      <c r="B8" s="11">
        <v>5</v>
      </c>
      <c r="C8" s="11">
        <v>5</v>
      </c>
      <c r="D8" s="11">
        <v>6</v>
      </c>
      <c r="E8" s="11">
        <v>6</v>
      </c>
      <c r="F8" s="11">
        <v>7</v>
      </c>
      <c r="G8" s="11">
        <v>4</v>
      </c>
      <c r="H8" s="13">
        <v>4</v>
      </c>
      <c r="I8" s="13">
        <v>5</v>
      </c>
      <c r="J8" s="13">
        <v>5</v>
      </c>
      <c r="K8" s="12">
        <v>2</v>
      </c>
      <c r="L8" s="13">
        <v>1</v>
      </c>
      <c r="M8" s="13">
        <v>0</v>
      </c>
      <c r="N8" s="11" t="s">
        <v>222</v>
      </c>
      <c r="O8" s="44" t="s">
        <v>263</v>
      </c>
      <c r="P8" s="20"/>
      <c r="S8" s="9" t="s">
        <v>139</v>
      </c>
      <c r="T8" s="56" t="s">
        <v>260</v>
      </c>
      <c r="U8" s="56" t="s">
        <v>260</v>
      </c>
      <c r="V8" s="56" t="s">
        <v>260</v>
      </c>
      <c r="W8" s="56" t="s">
        <v>260</v>
      </c>
      <c r="X8" s="56" t="s">
        <v>260</v>
      </c>
      <c r="Y8" s="56" t="s">
        <v>260</v>
      </c>
      <c r="Z8" s="57" t="s">
        <v>260</v>
      </c>
      <c r="AA8" s="57" t="s">
        <v>260</v>
      </c>
      <c r="AB8" s="57" t="s">
        <v>260</v>
      </c>
      <c r="AC8" s="58" t="s">
        <v>260</v>
      </c>
      <c r="AD8" s="57" t="s">
        <v>260</v>
      </c>
      <c r="AE8" s="57" t="s">
        <v>260</v>
      </c>
      <c r="AF8" s="56" t="s">
        <v>260</v>
      </c>
      <c r="AG8" s="71" t="s">
        <v>264</v>
      </c>
      <c r="AH8" s="70"/>
      <c r="AK8" s="9" t="s">
        <v>139</v>
      </c>
      <c r="AL8" s="56">
        <v>946205</v>
      </c>
      <c r="AM8" s="56">
        <v>952020</v>
      </c>
      <c r="AN8" s="56">
        <v>746750</v>
      </c>
      <c r="AO8" s="56">
        <v>742267</v>
      </c>
      <c r="AP8" s="56">
        <v>552571</v>
      </c>
      <c r="AQ8" s="56">
        <v>481693</v>
      </c>
      <c r="AR8" s="57">
        <v>370145</v>
      </c>
      <c r="AS8" s="57">
        <v>243656</v>
      </c>
      <c r="AT8" s="57">
        <v>206622</v>
      </c>
      <c r="AU8" s="58">
        <v>145617</v>
      </c>
      <c r="AV8" s="57">
        <v>9037</v>
      </c>
      <c r="AW8" s="57" t="s">
        <v>338</v>
      </c>
      <c r="AX8" s="56" t="s">
        <v>260</v>
      </c>
      <c r="AY8" s="71" t="s">
        <v>264</v>
      </c>
      <c r="AZ8" s="70" t="s">
        <v>271</v>
      </c>
      <c r="BC8" s="9" t="s">
        <v>139</v>
      </c>
      <c r="BD8" s="56">
        <v>75399</v>
      </c>
      <c r="BE8" s="56">
        <v>82899</v>
      </c>
      <c r="BF8" s="56">
        <v>85687</v>
      </c>
      <c r="BG8" s="56">
        <v>83280</v>
      </c>
      <c r="BH8" s="56">
        <v>90409</v>
      </c>
      <c r="BI8" s="56">
        <v>58471</v>
      </c>
      <c r="BJ8" s="57" t="s">
        <v>260</v>
      </c>
      <c r="BK8" s="57" t="s">
        <v>260</v>
      </c>
      <c r="BL8" s="57">
        <v>52195</v>
      </c>
      <c r="BM8" s="58">
        <v>16095</v>
      </c>
      <c r="BN8" s="57">
        <v>2689</v>
      </c>
      <c r="BO8" s="57" t="s">
        <v>345</v>
      </c>
      <c r="BP8" s="56" t="s">
        <v>260</v>
      </c>
      <c r="BQ8" s="71" t="s">
        <v>264</v>
      </c>
      <c r="BR8" s="70"/>
    </row>
    <row r="9" spans="1:70" x14ac:dyDescent="0.2">
      <c r="A9" s="6" t="str">
        <f>'Firm list'!B9</f>
        <v>NTC INVESTĪCIJAS</v>
      </c>
      <c r="B9" s="11">
        <v>3</v>
      </c>
      <c r="C9" s="11">
        <v>3</v>
      </c>
      <c r="D9" s="11">
        <v>3</v>
      </c>
      <c r="E9" s="11">
        <v>3</v>
      </c>
      <c r="F9" s="11">
        <v>3</v>
      </c>
      <c r="G9" s="11">
        <v>2</v>
      </c>
      <c r="H9" s="13">
        <v>2</v>
      </c>
      <c r="I9" s="15">
        <v>2</v>
      </c>
      <c r="J9" s="13">
        <v>0</v>
      </c>
      <c r="K9" s="12">
        <v>0</v>
      </c>
      <c r="L9" s="13" t="s">
        <v>222</v>
      </c>
      <c r="M9" s="13" t="s">
        <v>222</v>
      </c>
      <c r="N9" s="11" t="s">
        <v>222</v>
      </c>
      <c r="O9" s="43" t="s">
        <v>264</v>
      </c>
      <c r="P9" s="20"/>
      <c r="S9" s="9" t="s">
        <v>205</v>
      </c>
      <c r="T9" s="56" t="s">
        <v>260</v>
      </c>
      <c r="U9" s="56" t="s">
        <v>260</v>
      </c>
      <c r="V9" s="56" t="s">
        <v>260</v>
      </c>
      <c r="W9" s="56" t="s">
        <v>260</v>
      </c>
      <c r="X9" s="56" t="s">
        <v>260</v>
      </c>
      <c r="Y9" s="56" t="s">
        <v>260</v>
      </c>
      <c r="Z9" s="57" t="s">
        <v>260</v>
      </c>
      <c r="AA9" s="57" t="s">
        <v>260</v>
      </c>
      <c r="AB9" s="57" t="s">
        <v>260</v>
      </c>
      <c r="AC9" s="58" t="s">
        <v>260</v>
      </c>
      <c r="AD9" s="57" t="s">
        <v>260</v>
      </c>
      <c r="AE9" s="57" t="s">
        <v>260</v>
      </c>
      <c r="AF9" s="56" t="s">
        <v>260</v>
      </c>
      <c r="AG9" s="72" t="s">
        <v>337</v>
      </c>
      <c r="AH9" s="70"/>
      <c r="AK9" s="9" t="s">
        <v>205</v>
      </c>
      <c r="AL9" s="56">
        <v>243041</v>
      </c>
      <c r="AM9" s="56">
        <v>243041</v>
      </c>
      <c r="AN9" s="56">
        <v>250422</v>
      </c>
      <c r="AO9" s="56">
        <v>114369</v>
      </c>
      <c r="AP9" s="56" t="s">
        <v>338</v>
      </c>
      <c r="AQ9" s="56">
        <v>10000</v>
      </c>
      <c r="AR9" s="57">
        <v>31312</v>
      </c>
      <c r="AS9" s="57">
        <v>228115</v>
      </c>
      <c r="AT9" s="57" t="s">
        <v>338</v>
      </c>
      <c r="AU9" s="58" t="s">
        <v>338</v>
      </c>
      <c r="AV9" s="57" t="s">
        <v>260</v>
      </c>
      <c r="AW9" s="57" t="s">
        <v>260</v>
      </c>
      <c r="AX9" s="56" t="s">
        <v>260</v>
      </c>
      <c r="AY9" s="72" t="s">
        <v>337</v>
      </c>
      <c r="AZ9" s="70"/>
      <c r="BC9" s="9" t="s">
        <v>205</v>
      </c>
      <c r="BD9" s="56">
        <v>4598</v>
      </c>
      <c r="BE9" s="56">
        <v>4598</v>
      </c>
      <c r="BF9" s="56">
        <v>2545</v>
      </c>
      <c r="BG9" s="56">
        <v>2545</v>
      </c>
      <c r="BH9" s="56">
        <v>2461</v>
      </c>
      <c r="BI9" s="56" t="s">
        <v>260</v>
      </c>
      <c r="BJ9" s="57" t="s">
        <v>260</v>
      </c>
      <c r="BK9" s="57" t="s">
        <v>260</v>
      </c>
      <c r="BL9" s="57" t="s">
        <v>260</v>
      </c>
      <c r="BM9" s="58" t="s">
        <v>260</v>
      </c>
      <c r="BN9" s="57" t="s">
        <v>260</v>
      </c>
      <c r="BO9" s="57" t="s">
        <v>260</v>
      </c>
      <c r="BP9" s="56" t="s">
        <v>260</v>
      </c>
      <c r="BQ9" s="72" t="s">
        <v>337</v>
      </c>
      <c r="BR9" s="70"/>
    </row>
    <row r="10" spans="1:70" x14ac:dyDescent="0.2">
      <c r="A10" s="6" t="str">
        <f>'Firm list'!B10</f>
        <v>TENAX</v>
      </c>
      <c r="B10" s="11">
        <v>0</v>
      </c>
      <c r="C10" s="11">
        <v>0</v>
      </c>
      <c r="D10" s="11">
        <v>2</v>
      </c>
      <c r="E10" s="11">
        <v>2</v>
      </c>
      <c r="F10" s="11">
        <v>1</v>
      </c>
      <c r="G10" s="11">
        <v>1</v>
      </c>
      <c r="H10" s="13">
        <v>6</v>
      </c>
      <c r="I10" s="13">
        <v>6</v>
      </c>
      <c r="J10" s="13">
        <v>5</v>
      </c>
      <c r="K10" s="12">
        <v>1</v>
      </c>
      <c r="L10" s="13" t="s">
        <v>222</v>
      </c>
      <c r="M10" s="13" t="s">
        <v>222</v>
      </c>
      <c r="N10" s="11" t="s">
        <v>222</v>
      </c>
      <c r="O10" s="43" t="s">
        <v>264</v>
      </c>
      <c r="P10" s="20"/>
      <c r="S10" s="9" t="s">
        <v>159</v>
      </c>
      <c r="T10" s="56" t="s">
        <v>260</v>
      </c>
      <c r="U10" s="56" t="s">
        <v>260</v>
      </c>
      <c r="V10" s="56" t="s">
        <v>260</v>
      </c>
      <c r="W10" s="56" t="s">
        <v>260</v>
      </c>
      <c r="X10" s="56" t="s">
        <v>260</v>
      </c>
      <c r="Y10" s="56" t="s">
        <v>260</v>
      </c>
      <c r="Z10" s="57" t="s">
        <v>260</v>
      </c>
      <c r="AA10" s="57" t="s">
        <v>260</v>
      </c>
      <c r="AB10" s="57" t="s">
        <v>260</v>
      </c>
      <c r="AC10" s="58" t="s">
        <v>260</v>
      </c>
      <c r="AD10" s="57" t="s">
        <v>260</v>
      </c>
      <c r="AE10" s="57" t="s">
        <v>260</v>
      </c>
      <c r="AF10" s="56" t="s">
        <v>260</v>
      </c>
      <c r="AG10" s="72" t="s">
        <v>337</v>
      </c>
      <c r="AH10" s="70"/>
      <c r="AK10" s="9" t="s">
        <v>159</v>
      </c>
      <c r="AL10" s="56" t="s">
        <v>260</v>
      </c>
      <c r="AM10" s="56" t="s">
        <v>338</v>
      </c>
      <c r="AN10" s="56">
        <v>74708</v>
      </c>
      <c r="AO10" s="56">
        <v>107901</v>
      </c>
      <c r="AP10" s="56">
        <v>24439</v>
      </c>
      <c r="AQ10" s="56" t="s">
        <v>338</v>
      </c>
      <c r="AR10" s="57">
        <v>127025</v>
      </c>
      <c r="AS10" s="57">
        <v>325213</v>
      </c>
      <c r="AT10" s="57">
        <v>171307</v>
      </c>
      <c r="AU10" s="58" t="s">
        <v>338</v>
      </c>
      <c r="AV10" s="57" t="s">
        <v>338</v>
      </c>
      <c r="AW10" s="57" t="s">
        <v>260</v>
      </c>
      <c r="AX10" s="56" t="s">
        <v>260</v>
      </c>
      <c r="AY10" s="72" t="s">
        <v>337</v>
      </c>
      <c r="AZ10" s="70"/>
      <c r="BC10" s="9" t="s">
        <v>159</v>
      </c>
      <c r="BD10" s="56" t="s">
        <v>260</v>
      </c>
      <c r="BE10" s="56" t="s">
        <v>260</v>
      </c>
      <c r="BF10" s="56" t="s">
        <v>260</v>
      </c>
      <c r="BG10" s="56" t="s">
        <v>260</v>
      </c>
      <c r="BH10" s="56" t="s">
        <v>260</v>
      </c>
      <c r="BI10" s="56" t="s">
        <v>260</v>
      </c>
      <c r="BJ10" s="57" t="s">
        <v>260</v>
      </c>
      <c r="BK10" s="57">
        <v>49309</v>
      </c>
      <c r="BL10" s="57">
        <v>36205</v>
      </c>
      <c r="BM10" s="58">
        <v>564</v>
      </c>
      <c r="BN10" s="57" t="s">
        <v>260</v>
      </c>
      <c r="BO10" s="57" t="s">
        <v>260</v>
      </c>
      <c r="BP10" s="56" t="s">
        <v>260</v>
      </c>
      <c r="BQ10" s="72" t="s">
        <v>337</v>
      </c>
      <c r="BR10" s="70"/>
    </row>
    <row r="11" spans="1:70" x14ac:dyDescent="0.2">
      <c r="A11" s="6" t="str">
        <f>'Firm list'!B11</f>
        <v>IT INTERNATIONAL</v>
      </c>
      <c r="B11" s="11">
        <v>1</v>
      </c>
      <c r="C11" s="11">
        <v>1</v>
      </c>
      <c r="D11" s="11">
        <v>0</v>
      </c>
      <c r="E11" s="11">
        <v>0</v>
      </c>
      <c r="F11" s="11">
        <v>0</v>
      </c>
      <c r="G11" s="11">
        <v>0</v>
      </c>
      <c r="H11" s="13">
        <v>0</v>
      </c>
      <c r="I11" s="13">
        <v>0</v>
      </c>
      <c r="J11" s="13">
        <v>0</v>
      </c>
      <c r="K11" s="12">
        <v>0</v>
      </c>
      <c r="L11" s="13">
        <v>0</v>
      </c>
      <c r="M11" s="13">
        <v>0</v>
      </c>
      <c r="N11" s="11" t="s">
        <v>222</v>
      </c>
      <c r="O11" s="22" t="s">
        <v>264</v>
      </c>
      <c r="P11" s="25" t="s">
        <v>269</v>
      </c>
      <c r="S11" s="9" t="s">
        <v>164</v>
      </c>
      <c r="T11" s="56" t="s">
        <v>260</v>
      </c>
      <c r="U11" s="56" t="s">
        <v>260</v>
      </c>
      <c r="V11" s="56" t="s">
        <v>260</v>
      </c>
      <c r="W11" s="56" t="s">
        <v>260</v>
      </c>
      <c r="X11" s="56" t="s">
        <v>260</v>
      </c>
      <c r="Y11" s="56" t="s">
        <v>260</v>
      </c>
      <c r="Z11" s="57" t="s">
        <v>260</v>
      </c>
      <c r="AA11" s="57" t="s">
        <v>260</v>
      </c>
      <c r="AB11" s="57" t="s">
        <v>260</v>
      </c>
      <c r="AC11" s="58" t="s">
        <v>260</v>
      </c>
      <c r="AD11" s="57" t="s">
        <v>260</v>
      </c>
      <c r="AE11" s="57" t="s">
        <v>260</v>
      </c>
      <c r="AF11" s="56" t="s">
        <v>260</v>
      </c>
      <c r="AG11" s="71" t="s">
        <v>264</v>
      </c>
      <c r="AH11" s="70"/>
      <c r="AK11" s="9" t="s">
        <v>164</v>
      </c>
      <c r="AL11" s="56">
        <v>282741</v>
      </c>
      <c r="AM11" s="56">
        <v>146105</v>
      </c>
      <c r="AN11" s="56">
        <v>199946</v>
      </c>
      <c r="AO11" s="56">
        <v>197464</v>
      </c>
      <c r="AP11" s="56">
        <v>138102</v>
      </c>
      <c r="AQ11" s="56">
        <v>47925</v>
      </c>
      <c r="AR11" s="57">
        <v>33540</v>
      </c>
      <c r="AS11" s="57">
        <v>20795</v>
      </c>
      <c r="AT11" s="57">
        <v>26928</v>
      </c>
      <c r="AU11" s="58">
        <v>24195</v>
      </c>
      <c r="AV11" s="57">
        <v>11994</v>
      </c>
      <c r="AW11" s="57">
        <v>5573</v>
      </c>
      <c r="AX11" s="56" t="s">
        <v>338</v>
      </c>
      <c r="AY11" s="76" t="s">
        <v>263</v>
      </c>
      <c r="AZ11" s="70"/>
      <c r="BC11" s="9" t="s">
        <v>164</v>
      </c>
      <c r="BD11" s="56" t="s">
        <v>260</v>
      </c>
      <c r="BE11" s="56" t="s">
        <v>260</v>
      </c>
      <c r="BF11" s="56" t="s">
        <v>260</v>
      </c>
      <c r="BG11" s="56" t="s">
        <v>260</v>
      </c>
      <c r="BH11" s="56" t="s">
        <v>260</v>
      </c>
      <c r="BI11" s="56" t="s">
        <v>260</v>
      </c>
      <c r="BJ11" s="57" t="s">
        <v>260</v>
      </c>
      <c r="BK11" s="57" t="s">
        <v>260</v>
      </c>
      <c r="BL11" s="57" t="s">
        <v>260</v>
      </c>
      <c r="BM11" s="58" t="s">
        <v>260</v>
      </c>
      <c r="BN11" s="57" t="s">
        <v>260</v>
      </c>
      <c r="BO11" s="57" t="s">
        <v>260</v>
      </c>
      <c r="BP11" s="56" t="s">
        <v>260</v>
      </c>
      <c r="BQ11" s="71" t="s">
        <v>264</v>
      </c>
      <c r="BR11" s="70"/>
    </row>
    <row r="12" spans="1:70" x14ac:dyDescent="0.2">
      <c r="A12" s="6" t="str">
        <f>'Firm list'!B12</f>
        <v>iCotton</v>
      </c>
      <c r="B12" s="11" t="s">
        <v>222</v>
      </c>
      <c r="C12" s="11">
        <v>14</v>
      </c>
      <c r="D12" s="11">
        <v>13</v>
      </c>
      <c r="E12" s="11">
        <v>14</v>
      </c>
      <c r="F12" s="11">
        <v>14</v>
      </c>
      <c r="G12" s="11">
        <v>13</v>
      </c>
      <c r="H12" s="13">
        <v>15</v>
      </c>
      <c r="I12" s="13">
        <v>14</v>
      </c>
      <c r="J12" s="13">
        <v>7</v>
      </c>
      <c r="K12" s="12">
        <v>7</v>
      </c>
      <c r="L12" s="13">
        <v>17</v>
      </c>
      <c r="M12" s="13">
        <v>17</v>
      </c>
      <c r="N12" s="11">
        <v>18</v>
      </c>
      <c r="O12" s="44" t="s">
        <v>263</v>
      </c>
      <c r="P12" s="20"/>
      <c r="S12" s="9" t="s">
        <v>182</v>
      </c>
      <c r="T12" s="56" t="s">
        <v>260</v>
      </c>
      <c r="U12" s="56">
        <v>-77132</v>
      </c>
      <c r="V12" s="56">
        <v>-594803</v>
      </c>
      <c r="W12" s="56">
        <v>-6423429</v>
      </c>
      <c r="X12" s="56">
        <v>-83175</v>
      </c>
      <c r="Y12" s="56">
        <v>-816925</v>
      </c>
      <c r="Z12" s="57">
        <v>-594680</v>
      </c>
      <c r="AA12" s="57">
        <v>-609009</v>
      </c>
      <c r="AB12" s="57">
        <v>-429404</v>
      </c>
      <c r="AC12" s="58">
        <v>-142271</v>
      </c>
      <c r="AD12" s="57">
        <v>-610060</v>
      </c>
      <c r="AE12" s="57">
        <v>-207356</v>
      </c>
      <c r="AF12" s="56">
        <v>589920</v>
      </c>
      <c r="AG12" s="69" t="s">
        <v>263</v>
      </c>
      <c r="AH12" s="70"/>
      <c r="AK12" s="9" t="s">
        <v>182</v>
      </c>
      <c r="AL12" s="56" t="s">
        <v>260</v>
      </c>
      <c r="AM12" s="56">
        <v>2523326</v>
      </c>
      <c r="AN12" s="56">
        <v>2289351</v>
      </c>
      <c r="AO12" s="56">
        <v>1953241</v>
      </c>
      <c r="AP12" s="56">
        <v>1879027</v>
      </c>
      <c r="AQ12" s="56">
        <v>1694616</v>
      </c>
      <c r="AR12" s="57">
        <v>1641168</v>
      </c>
      <c r="AS12" s="57">
        <v>1053967</v>
      </c>
      <c r="AT12" s="57">
        <v>829543</v>
      </c>
      <c r="AU12" s="58">
        <v>743918</v>
      </c>
      <c r="AV12" s="57">
        <v>1626775</v>
      </c>
      <c r="AW12" s="57">
        <v>1843543</v>
      </c>
      <c r="AX12" s="56">
        <v>1272814</v>
      </c>
      <c r="AY12" s="76" t="s">
        <v>263</v>
      </c>
      <c r="AZ12" s="70"/>
      <c r="BC12" s="9" t="s">
        <v>182</v>
      </c>
      <c r="BD12" s="56" t="s">
        <v>260</v>
      </c>
      <c r="BE12" s="56">
        <v>813588</v>
      </c>
      <c r="BF12" s="56">
        <v>747675</v>
      </c>
      <c r="BG12" s="56">
        <v>926191</v>
      </c>
      <c r="BH12" s="56">
        <v>596546</v>
      </c>
      <c r="BI12" s="56">
        <v>547118</v>
      </c>
      <c r="BJ12" s="57">
        <v>583351</v>
      </c>
      <c r="BK12" s="57">
        <v>508350</v>
      </c>
      <c r="BL12" s="57">
        <v>230115</v>
      </c>
      <c r="BM12" s="58">
        <v>347343</v>
      </c>
      <c r="BN12" s="57">
        <v>347343</v>
      </c>
      <c r="BO12" s="57">
        <v>487571</v>
      </c>
      <c r="BP12" s="56" t="s">
        <v>260</v>
      </c>
      <c r="BQ12" s="76" t="s">
        <v>263</v>
      </c>
      <c r="BR12" s="70"/>
    </row>
    <row r="13" spans="1:70" x14ac:dyDescent="0.2">
      <c r="A13" s="6" t="str">
        <f>'Firm list'!B13</f>
        <v>Lyngson</v>
      </c>
      <c r="B13" s="11" t="s">
        <v>222</v>
      </c>
      <c r="C13" s="11" t="s">
        <v>222</v>
      </c>
      <c r="D13" s="11" t="s">
        <v>222</v>
      </c>
      <c r="E13" s="11" t="s">
        <v>222</v>
      </c>
      <c r="F13" s="11" t="s">
        <v>222</v>
      </c>
      <c r="G13" s="11" t="s">
        <v>222</v>
      </c>
      <c r="H13" s="13" t="s">
        <v>222</v>
      </c>
      <c r="I13" s="13">
        <v>1</v>
      </c>
      <c r="J13" s="13">
        <v>7</v>
      </c>
      <c r="K13" s="12">
        <v>12</v>
      </c>
      <c r="L13" s="13">
        <v>8</v>
      </c>
      <c r="M13" s="13">
        <v>9</v>
      </c>
      <c r="N13" s="11">
        <v>22</v>
      </c>
      <c r="O13" s="22" t="s">
        <v>264</v>
      </c>
      <c r="P13" s="20" t="s">
        <v>266</v>
      </c>
      <c r="S13" s="9" t="s">
        <v>209</v>
      </c>
      <c r="T13" s="56" t="s">
        <v>260</v>
      </c>
      <c r="U13" s="56" t="s">
        <v>260</v>
      </c>
      <c r="V13" s="56" t="s">
        <v>260</v>
      </c>
      <c r="W13" s="56" t="s">
        <v>260</v>
      </c>
      <c r="X13" s="56" t="s">
        <v>260</v>
      </c>
      <c r="Y13" s="56" t="s">
        <v>260</v>
      </c>
      <c r="Z13" s="57" t="s">
        <v>260</v>
      </c>
      <c r="AA13" s="57" t="s">
        <v>260</v>
      </c>
      <c r="AB13" s="57" t="s">
        <v>260</v>
      </c>
      <c r="AC13" s="58" t="s">
        <v>260</v>
      </c>
      <c r="AD13" s="57" t="s">
        <v>260</v>
      </c>
      <c r="AE13" s="57" t="s">
        <v>260</v>
      </c>
      <c r="AF13" s="56">
        <v>-53530</v>
      </c>
      <c r="AG13" s="71" t="s">
        <v>264</v>
      </c>
      <c r="AH13" s="70" t="s">
        <v>266</v>
      </c>
      <c r="AK13" s="9" t="s">
        <v>209</v>
      </c>
      <c r="AL13" s="56" t="s">
        <v>260</v>
      </c>
      <c r="AM13" s="56" t="s">
        <v>260</v>
      </c>
      <c r="AN13" s="56" t="s">
        <v>260</v>
      </c>
      <c r="AO13" s="56" t="s">
        <v>260</v>
      </c>
      <c r="AP13" s="56" t="s">
        <v>260</v>
      </c>
      <c r="AQ13" s="56" t="s">
        <v>260</v>
      </c>
      <c r="AR13" s="57" t="s">
        <v>260</v>
      </c>
      <c r="AS13" s="57">
        <v>226251</v>
      </c>
      <c r="AT13" s="57">
        <v>798995</v>
      </c>
      <c r="AU13" s="58">
        <v>1092818</v>
      </c>
      <c r="AV13" s="57">
        <v>1821154</v>
      </c>
      <c r="AW13" s="57">
        <v>1052571</v>
      </c>
      <c r="AX13" s="56">
        <v>748487</v>
      </c>
      <c r="AY13" s="71" t="s">
        <v>264</v>
      </c>
      <c r="AZ13" s="70" t="s">
        <v>266</v>
      </c>
      <c r="BC13" s="9" t="s">
        <v>209</v>
      </c>
      <c r="BD13" s="56" t="s">
        <v>260</v>
      </c>
      <c r="BE13" s="56" t="s">
        <v>260</v>
      </c>
      <c r="BF13" s="56" t="s">
        <v>260</v>
      </c>
      <c r="BG13" s="56" t="s">
        <v>260</v>
      </c>
      <c r="BH13" s="56" t="s">
        <v>260</v>
      </c>
      <c r="BI13" s="56" t="s">
        <v>260</v>
      </c>
      <c r="BJ13" s="57" t="s">
        <v>260</v>
      </c>
      <c r="BK13" s="57" t="s">
        <v>260</v>
      </c>
      <c r="BL13" s="57">
        <v>83073</v>
      </c>
      <c r="BM13" s="58">
        <v>47410</v>
      </c>
      <c r="BN13" s="57">
        <v>47410</v>
      </c>
      <c r="BO13" s="57">
        <v>32476</v>
      </c>
      <c r="BP13" s="56" t="s">
        <v>260</v>
      </c>
      <c r="BQ13" s="71" t="s">
        <v>264</v>
      </c>
      <c r="BR13" s="70" t="s">
        <v>266</v>
      </c>
    </row>
    <row r="14" spans="1:70" x14ac:dyDescent="0.2">
      <c r="A14" s="6" t="str">
        <f>'Firm list'!B14</f>
        <v>Piebalgas</v>
      </c>
      <c r="B14" s="11">
        <v>140</v>
      </c>
      <c r="C14" s="11">
        <v>143</v>
      </c>
      <c r="D14" s="11">
        <v>158</v>
      </c>
      <c r="E14" s="11">
        <v>152</v>
      </c>
      <c r="F14" s="11">
        <v>143</v>
      </c>
      <c r="G14" s="13">
        <v>111</v>
      </c>
      <c r="H14" s="13">
        <v>127</v>
      </c>
      <c r="I14" s="13">
        <v>168</v>
      </c>
      <c r="J14" s="12">
        <v>149</v>
      </c>
      <c r="K14" s="13">
        <v>150</v>
      </c>
      <c r="L14" s="13">
        <v>109</v>
      </c>
      <c r="M14" s="11">
        <v>64</v>
      </c>
      <c r="N14" s="11">
        <v>37</v>
      </c>
      <c r="O14" s="44" t="s">
        <v>263</v>
      </c>
      <c r="P14" s="20"/>
      <c r="S14" s="9" t="s">
        <v>170</v>
      </c>
      <c r="T14" s="56">
        <v>-233604</v>
      </c>
      <c r="U14" s="56">
        <v>-284287</v>
      </c>
      <c r="V14" s="56">
        <v>-1027298</v>
      </c>
      <c r="W14" s="56">
        <v>-1774292</v>
      </c>
      <c r="X14" s="56">
        <v>-5160228</v>
      </c>
      <c r="Y14" s="57">
        <v>-8476925</v>
      </c>
      <c r="Z14" s="57">
        <v>-4258609</v>
      </c>
      <c r="AA14" s="57">
        <v>-2614693</v>
      </c>
      <c r="AB14" s="58">
        <v>-694074</v>
      </c>
      <c r="AC14" s="57">
        <v>-668353</v>
      </c>
      <c r="AD14" s="57">
        <v>-8631697</v>
      </c>
      <c r="AE14" s="56">
        <v>-202782</v>
      </c>
      <c r="AF14" s="56">
        <v>-1059775</v>
      </c>
      <c r="AG14" s="69" t="s">
        <v>263</v>
      </c>
      <c r="AH14" s="70"/>
      <c r="AK14" s="9" t="s">
        <v>170</v>
      </c>
      <c r="AL14" s="56">
        <v>15689933</v>
      </c>
      <c r="AM14" s="56">
        <v>12086459</v>
      </c>
      <c r="AN14" s="56">
        <v>16159823</v>
      </c>
      <c r="AO14" s="56">
        <v>19637448</v>
      </c>
      <c r="AP14" s="56">
        <v>21658350</v>
      </c>
      <c r="AQ14" s="57">
        <v>28381032</v>
      </c>
      <c r="AR14" s="57">
        <v>26273886</v>
      </c>
      <c r="AS14" s="57">
        <v>25966495</v>
      </c>
      <c r="AT14" s="58">
        <v>18695782</v>
      </c>
      <c r="AU14" s="57">
        <v>9445222</v>
      </c>
      <c r="AV14" s="57">
        <v>5763079</v>
      </c>
      <c r="AW14" s="56">
        <v>5725894</v>
      </c>
      <c r="AX14" s="56">
        <v>619128</v>
      </c>
      <c r="AY14" s="76" t="s">
        <v>263</v>
      </c>
      <c r="AZ14" s="70"/>
      <c r="BC14" s="9" t="s">
        <v>170</v>
      </c>
      <c r="BD14" s="56">
        <v>3128387</v>
      </c>
      <c r="BE14" s="56">
        <v>3093707</v>
      </c>
      <c r="BF14" s="56">
        <v>3092067</v>
      </c>
      <c r="BG14" s="56">
        <v>2547168</v>
      </c>
      <c r="BH14" s="56">
        <v>1518246</v>
      </c>
      <c r="BI14" s="57">
        <v>1518246</v>
      </c>
      <c r="BJ14" s="57">
        <v>1733047</v>
      </c>
      <c r="BK14" s="57">
        <v>2093985</v>
      </c>
      <c r="BL14" s="58">
        <v>2364264</v>
      </c>
      <c r="BM14" s="57">
        <v>1488737</v>
      </c>
      <c r="BN14" s="57">
        <v>672843</v>
      </c>
      <c r="BO14" s="56">
        <v>653720</v>
      </c>
      <c r="BP14" s="56" t="s">
        <v>260</v>
      </c>
      <c r="BQ14" s="76" t="s">
        <v>263</v>
      </c>
      <c r="BR14" s="70"/>
    </row>
    <row r="15" spans="1:70" x14ac:dyDescent="0.2">
      <c r="A15" s="6" t="str">
        <f>'Firm list'!B15</f>
        <v>Kronus</v>
      </c>
      <c r="B15" s="11" t="s">
        <v>222</v>
      </c>
      <c r="C15" s="11">
        <v>114</v>
      </c>
      <c r="D15" s="11">
        <v>127</v>
      </c>
      <c r="E15" s="11">
        <v>128</v>
      </c>
      <c r="F15" s="11">
        <v>128</v>
      </c>
      <c r="G15" s="13">
        <v>130</v>
      </c>
      <c r="H15" s="13">
        <v>134</v>
      </c>
      <c r="I15" s="13">
        <v>133</v>
      </c>
      <c r="J15" s="12">
        <v>112</v>
      </c>
      <c r="K15" s="13">
        <v>107</v>
      </c>
      <c r="L15" s="13">
        <v>108</v>
      </c>
      <c r="M15" s="11">
        <v>105</v>
      </c>
      <c r="N15" s="11">
        <v>98</v>
      </c>
      <c r="O15" s="44" t="s">
        <v>263</v>
      </c>
      <c r="P15" s="20"/>
      <c r="S15" s="9" t="s">
        <v>175</v>
      </c>
      <c r="T15" s="56" t="s">
        <v>260</v>
      </c>
      <c r="U15" s="56">
        <v>-317491</v>
      </c>
      <c r="V15" s="56">
        <v>-232340</v>
      </c>
      <c r="W15" s="56">
        <v>-283242</v>
      </c>
      <c r="X15" s="56">
        <v>-334659</v>
      </c>
      <c r="Y15" s="57">
        <v>-511136</v>
      </c>
      <c r="Z15" s="57">
        <v>-470762</v>
      </c>
      <c r="AA15" s="57">
        <v>-1671437</v>
      </c>
      <c r="AB15" s="58">
        <v>-1737524</v>
      </c>
      <c r="AC15" s="57">
        <v>-1830314</v>
      </c>
      <c r="AD15" s="57">
        <v>-85580</v>
      </c>
      <c r="AE15" s="56">
        <v>-334174</v>
      </c>
      <c r="AF15" s="56">
        <v>-532832</v>
      </c>
      <c r="AG15" s="69" t="s">
        <v>263</v>
      </c>
      <c r="AH15" s="70"/>
      <c r="AK15" s="9" t="s">
        <v>175</v>
      </c>
      <c r="AL15" s="56" t="s">
        <v>260</v>
      </c>
      <c r="AM15" s="56">
        <v>11413608</v>
      </c>
      <c r="AN15" s="56">
        <v>15619301</v>
      </c>
      <c r="AO15" s="56">
        <v>18924058</v>
      </c>
      <c r="AP15" s="56">
        <v>14738615</v>
      </c>
      <c r="AQ15" s="57">
        <v>12803242</v>
      </c>
      <c r="AR15" s="57">
        <v>13518423</v>
      </c>
      <c r="AS15" s="57">
        <v>13893616</v>
      </c>
      <c r="AT15" s="58">
        <v>12435811</v>
      </c>
      <c r="AU15" s="57">
        <v>10654491</v>
      </c>
      <c r="AV15" s="57">
        <v>11053920</v>
      </c>
      <c r="AW15" s="56">
        <v>11695598</v>
      </c>
      <c r="AX15" s="56">
        <v>10639668</v>
      </c>
      <c r="AY15" s="76" t="s">
        <v>263</v>
      </c>
      <c r="AZ15" s="70"/>
      <c r="BC15" s="9" t="s">
        <v>175</v>
      </c>
      <c r="BD15" s="56" t="s">
        <v>260</v>
      </c>
      <c r="BE15" s="56">
        <v>2851532</v>
      </c>
      <c r="BF15" s="56">
        <v>2950920</v>
      </c>
      <c r="BG15" s="56">
        <v>2900028</v>
      </c>
      <c r="BH15" s="56">
        <v>2560867</v>
      </c>
      <c r="BI15" s="57">
        <v>2478486</v>
      </c>
      <c r="BJ15" s="57">
        <v>2431592</v>
      </c>
      <c r="BK15" s="57">
        <v>2263414</v>
      </c>
      <c r="BL15" s="58">
        <v>1800662</v>
      </c>
      <c r="BM15" s="57">
        <v>1599886</v>
      </c>
      <c r="BN15" s="57">
        <v>1567011</v>
      </c>
      <c r="BO15" s="56">
        <v>1444727</v>
      </c>
      <c r="BP15" s="56" t="s">
        <v>260</v>
      </c>
      <c r="BQ15" s="76" t="s">
        <v>263</v>
      </c>
      <c r="BR15" s="70"/>
    </row>
    <row r="16" spans="1:70" x14ac:dyDescent="0.2">
      <c r="A16" s="6" t="str">
        <f>'Firm list'!B16</f>
        <v>NPK Expert</v>
      </c>
      <c r="B16" s="11">
        <v>56</v>
      </c>
      <c r="C16" s="11">
        <v>57</v>
      </c>
      <c r="D16" s="11">
        <v>57</v>
      </c>
      <c r="E16" s="11">
        <v>62</v>
      </c>
      <c r="F16" s="11">
        <v>63</v>
      </c>
      <c r="G16" s="13">
        <v>63</v>
      </c>
      <c r="H16" s="13">
        <v>63</v>
      </c>
      <c r="I16" s="13">
        <v>66</v>
      </c>
      <c r="J16" s="12">
        <v>66</v>
      </c>
      <c r="K16" s="13">
        <v>68</v>
      </c>
      <c r="L16" s="13">
        <v>70</v>
      </c>
      <c r="M16" s="11">
        <v>79</v>
      </c>
      <c r="N16" s="11">
        <v>79</v>
      </c>
      <c r="O16" s="44" t="s">
        <v>263</v>
      </c>
      <c r="P16" s="20"/>
      <c r="S16" s="9" t="s">
        <v>186</v>
      </c>
      <c r="T16" s="56" t="s">
        <v>260</v>
      </c>
      <c r="U16" s="56" t="s">
        <v>260</v>
      </c>
      <c r="V16" s="56">
        <v>-88041</v>
      </c>
      <c r="W16" s="56">
        <v>-58223</v>
      </c>
      <c r="X16" s="56" t="s">
        <v>260</v>
      </c>
      <c r="Y16" s="57" t="s">
        <v>260</v>
      </c>
      <c r="Z16" s="57" t="s">
        <v>260</v>
      </c>
      <c r="AA16" s="57" t="s">
        <v>260</v>
      </c>
      <c r="AB16" s="58" t="s">
        <v>260</v>
      </c>
      <c r="AC16" s="57" t="s">
        <v>260</v>
      </c>
      <c r="AD16" s="57" t="s">
        <v>260</v>
      </c>
      <c r="AE16" s="56" t="s">
        <v>260</v>
      </c>
      <c r="AF16" s="56">
        <v>-170450</v>
      </c>
      <c r="AG16" s="71" t="s">
        <v>264</v>
      </c>
      <c r="AH16" s="70"/>
      <c r="AK16" s="9" t="s">
        <v>186</v>
      </c>
      <c r="AL16" s="56">
        <v>5798254</v>
      </c>
      <c r="AM16" s="56">
        <v>7761623</v>
      </c>
      <c r="AN16" s="56">
        <v>6933267</v>
      </c>
      <c r="AO16" s="56">
        <v>9545132</v>
      </c>
      <c r="AP16" s="56">
        <v>7055719</v>
      </c>
      <c r="AQ16" s="57">
        <v>6289412</v>
      </c>
      <c r="AR16" s="57">
        <v>5487576</v>
      </c>
      <c r="AS16" s="57">
        <v>6698241</v>
      </c>
      <c r="AT16" s="58">
        <v>6042284</v>
      </c>
      <c r="AU16" s="57">
        <v>5107709</v>
      </c>
      <c r="AV16" s="57">
        <v>5604600</v>
      </c>
      <c r="AW16" s="56">
        <v>7372334</v>
      </c>
      <c r="AX16" s="56">
        <v>6166301</v>
      </c>
      <c r="AY16" s="76" t="s">
        <v>263</v>
      </c>
      <c r="AZ16" s="70"/>
      <c r="BC16" s="9" t="s">
        <v>186</v>
      </c>
      <c r="BD16" s="56">
        <v>1090279</v>
      </c>
      <c r="BE16" s="56">
        <v>1085866</v>
      </c>
      <c r="BF16" s="56">
        <v>1067345</v>
      </c>
      <c r="BG16" s="56">
        <v>1050025</v>
      </c>
      <c r="BH16" s="56">
        <v>919445</v>
      </c>
      <c r="BI16" s="57">
        <v>877588</v>
      </c>
      <c r="BJ16" s="57">
        <v>786842</v>
      </c>
      <c r="BK16" s="57">
        <v>784012</v>
      </c>
      <c r="BL16" s="58">
        <v>674923</v>
      </c>
      <c r="BM16" s="57">
        <v>625967</v>
      </c>
      <c r="BN16" s="57">
        <v>53752</v>
      </c>
      <c r="BO16" s="56">
        <v>53860</v>
      </c>
      <c r="BP16" s="56" t="s">
        <v>260</v>
      </c>
      <c r="BQ16" s="76" t="s">
        <v>263</v>
      </c>
      <c r="BR16" s="70"/>
    </row>
    <row r="17" spans="1:70" x14ac:dyDescent="0.2">
      <c r="A17" s="6" t="str">
        <f>'Firm list'!B17</f>
        <v>EcoLead</v>
      </c>
      <c r="B17" s="11" t="s">
        <v>222</v>
      </c>
      <c r="C17" s="11">
        <v>522</v>
      </c>
      <c r="D17" s="11">
        <v>565</v>
      </c>
      <c r="E17" s="11">
        <v>538</v>
      </c>
      <c r="F17" s="11">
        <v>542</v>
      </c>
      <c r="G17" s="13">
        <v>435</v>
      </c>
      <c r="H17" s="13">
        <v>356</v>
      </c>
      <c r="I17" s="13">
        <v>249</v>
      </c>
      <c r="J17" s="12">
        <v>249</v>
      </c>
      <c r="K17" s="13">
        <v>249</v>
      </c>
      <c r="L17" s="13">
        <v>249</v>
      </c>
      <c r="M17" s="11">
        <v>249</v>
      </c>
      <c r="N17" s="11" t="s">
        <v>222</v>
      </c>
      <c r="O17" s="44" t="s">
        <v>263</v>
      </c>
      <c r="P17" s="20"/>
      <c r="S17" s="9" t="s">
        <v>195</v>
      </c>
      <c r="T17" s="56" t="s">
        <v>260</v>
      </c>
      <c r="U17" s="56">
        <v>-804655</v>
      </c>
      <c r="V17" s="56">
        <v>-3464524</v>
      </c>
      <c r="W17" s="56">
        <v>-4327471</v>
      </c>
      <c r="X17" s="56">
        <v>-1407853</v>
      </c>
      <c r="Y17" s="57">
        <v>-706522</v>
      </c>
      <c r="Z17" s="57">
        <v>-1818664</v>
      </c>
      <c r="AA17" s="57">
        <v>-1960177</v>
      </c>
      <c r="AB17" s="58">
        <v>-2770758</v>
      </c>
      <c r="AC17" s="57">
        <v>-2390968</v>
      </c>
      <c r="AD17" s="57">
        <v>-845734</v>
      </c>
      <c r="AE17" s="56" t="s">
        <v>260</v>
      </c>
      <c r="AF17" s="56" t="s">
        <v>260</v>
      </c>
      <c r="AG17" s="69" t="s">
        <v>263</v>
      </c>
      <c r="AH17" s="70"/>
      <c r="AK17" s="9" t="s">
        <v>195</v>
      </c>
      <c r="AL17" s="56" t="s">
        <v>260</v>
      </c>
      <c r="AM17" s="56">
        <v>85969169</v>
      </c>
      <c r="AN17" s="56">
        <v>92892077</v>
      </c>
      <c r="AO17" s="56">
        <v>124736999</v>
      </c>
      <c r="AP17" s="56">
        <v>87752342</v>
      </c>
      <c r="AQ17" s="57">
        <v>44435198</v>
      </c>
      <c r="AR17" s="57">
        <v>41317816</v>
      </c>
      <c r="AS17" s="57">
        <v>49109610</v>
      </c>
      <c r="AT17" s="58">
        <v>39978056</v>
      </c>
      <c r="AU17" s="57">
        <v>31388492</v>
      </c>
      <c r="AV17" s="57">
        <v>28124373</v>
      </c>
      <c r="AW17" s="56">
        <v>28035477</v>
      </c>
      <c r="AX17" s="56">
        <v>27201561</v>
      </c>
      <c r="AY17" s="76" t="s">
        <v>263</v>
      </c>
      <c r="AZ17" s="70"/>
      <c r="BC17" s="9" t="s">
        <v>195</v>
      </c>
      <c r="BD17" s="56" t="s">
        <v>260</v>
      </c>
      <c r="BE17" s="56">
        <v>16041514</v>
      </c>
      <c r="BF17" s="56">
        <v>17024003</v>
      </c>
      <c r="BG17" s="56">
        <v>16634533</v>
      </c>
      <c r="BH17" s="56">
        <v>12701848</v>
      </c>
      <c r="BI17" s="57">
        <v>10476639</v>
      </c>
      <c r="BJ17" s="57">
        <v>8053823</v>
      </c>
      <c r="BK17" s="57">
        <v>4421746</v>
      </c>
      <c r="BL17" s="58">
        <v>3893343</v>
      </c>
      <c r="BM17" s="57">
        <v>2401564</v>
      </c>
      <c r="BN17" s="57">
        <v>2130490</v>
      </c>
      <c r="BO17" s="56">
        <v>1927689</v>
      </c>
      <c r="BP17" s="56">
        <v>1867003</v>
      </c>
      <c r="BQ17" s="76" t="s">
        <v>263</v>
      </c>
      <c r="BR17" s="70"/>
    </row>
    <row r="18" spans="1:70" x14ac:dyDescent="0.2">
      <c r="A18" s="6" t="str">
        <f>'Firm list'!B18</f>
        <v>Carbon energy systems</v>
      </c>
      <c r="B18" s="11" t="s">
        <v>222</v>
      </c>
      <c r="C18" s="11" t="s">
        <v>222</v>
      </c>
      <c r="D18" s="11" t="s">
        <v>222</v>
      </c>
      <c r="E18" s="11" t="s">
        <v>222</v>
      </c>
      <c r="F18" s="11" t="s">
        <v>222</v>
      </c>
      <c r="G18" s="13" t="s">
        <v>222</v>
      </c>
      <c r="H18" s="13" t="s">
        <v>222</v>
      </c>
      <c r="I18" s="13" t="s">
        <v>222</v>
      </c>
      <c r="J18" s="12" t="s">
        <v>222</v>
      </c>
      <c r="K18" s="13">
        <v>3</v>
      </c>
      <c r="L18" s="13">
        <v>35</v>
      </c>
      <c r="M18" s="11">
        <v>33</v>
      </c>
      <c r="N18" s="11">
        <v>5</v>
      </c>
      <c r="O18" s="22" t="s">
        <v>264</v>
      </c>
      <c r="P18" s="20" t="s">
        <v>266</v>
      </c>
      <c r="S18" s="9" t="s">
        <v>151</v>
      </c>
      <c r="T18" s="56" t="s">
        <v>260</v>
      </c>
      <c r="U18" s="56" t="s">
        <v>260</v>
      </c>
      <c r="V18" s="56" t="s">
        <v>260</v>
      </c>
      <c r="W18" s="56" t="s">
        <v>260</v>
      </c>
      <c r="X18" s="56" t="s">
        <v>260</v>
      </c>
      <c r="Y18" s="57" t="s">
        <v>260</v>
      </c>
      <c r="Z18" s="57" t="s">
        <v>260</v>
      </c>
      <c r="AA18" s="57" t="s">
        <v>260</v>
      </c>
      <c r="AB18" s="58" t="s">
        <v>260</v>
      </c>
      <c r="AC18" s="57" t="s">
        <v>260</v>
      </c>
      <c r="AD18" s="57" t="s">
        <v>260</v>
      </c>
      <c r="AE18" s="56">
        <v>-118259</v>
      </c>
      <c r="AF18" s="56">
        <v>-32631</v>
      </c>
      <c r="AG18" s="71" t="s">
        <v>264</v>
      </c>
      <c r="AH18" s="70" t="s">
        <v>266</v>
      </c>
      <c r="AK18" s="9" t="s">
        <v>151</v>
      </c>
      <c r="AL18" s="56" t="s">
        <v>260</v>
      </c>
      <c r="AM18" s="56" t="s">
        <v>260</v>
      </c>
      <c r="AN18" s="56" t="s">
        <v>260</v>
      </c>
      <c r="AO18" s="56" t="s">
        <v>260</v>
      </c>
      <c r="AP18" s="56" t="s">
        <v>260</v>
      </c>
      <c r="AQ18" s="57" t="s">
        <v>260</v>
      </c>
      <c r="AR18" s="57" t="s">
        <v>260</v>
      </c>
      <c r="AS18" s="57" t="s">
        <v>260</v>
      </c>
      <c r="AT18" s="58" t="s">
        <v>260</v>
      </c>
      <c r="AU18" s="57">
        <v>14833532</v>
      </c>
      <c r="AV18" s="57">
        <v>15411195</v>
      </c>
      <c r="AW18" s="56">
        <v>10160767</v>
      </c>
      <c r="AX18" s="56">
        <v>2239475</v>
      </c>
      <c r="AY18" s="71" t="s">
        <v>264</v>
      </c>
      <c r="AZ18" s="70" t="s">
        <v>266</v>
      </c>
      <c r="BC18" s="9" t="s">
        <v>151</v>
      </c>
      <c r="BD18" s="56" t="s">
        <v>260</v>
      </c>
      <c r="BE18" s="56" t="s">
        <v>260</v>
      </c>
      <c r="BF18" s="56" t="s">
        <v>260</v>
      </c>
      <c r="BG18" s="56" t="s">
        <v>260</v>
      </c>
      <c r="BH18" s="56" t="s">
        <v>260</v>
      </c>
      <c r="BI18" s="57" t="s">
        <v>260</v>
      </c>
      <c r="BJ18" s="57" t="s">
        <v>260</v>
      </c>
      <c r="BK18" s="57" t="s">
        <v>260</v>
      </c>
      <c r="BL18" s="58" t="s">
        <v>260</v>
      </c>
      <c r="BM18" s="57">
        <v>342653</v>
      </c>
      <c r="BN18" s="57">
        <v>392052</v>
      </c>
      <c r="BO18" s="56" t="s">
        <v>260</v>
      </c>
      <c r="BP18" s="56" t="s">
        <v>260</v>
      </c>
      <c r="BQ18" s="71" t="s">
        <v>264</v>
      </c>
      <c r="BR18" s="70" t="s">
        <v>266</v>
      </c>
    </row>
    <row r="19" spans="1:70" x14ac:dyDescent="0.2">
      <c r="A19" s="6" t="str">
        <f>'Firm list'!B19</f>
        <v>JĒKABPILS PMK</v>
      </c>
      <c r="B19" s="11" t="s">
        <v>222</v>
      </c>
      <c r="C19" s="11">
        <v>44</v>
      </c>
      <c r="D19" s="11">
        <v>34</v>
      </c>
      <c r="E19" s="11">
        <v>9</v>
      </c>
      <c r="F19" s="11">
        <v>6</v>
      </c>
      <c r="G19" s="13">
        <v>4</v>
      </c>
      <c r="H19" s="13">
        <v>4</v>
      </c>
      <c r="I19" s="13">
        <v>3</v>
      </c>
      <c r="J19" s="12">
        <v>3</v>
      </c>
      <c r="K19" s="13">
        <v>2</v>
      </c>
      <c r="L19" s="13">
        <v>4</v>
      </c>
      <c r="M19" s="11">
        <v>6</v>
      </c>
      <c r="N19" s="11">
        <v>6</v>
      </c>
      <c r="O19" s="44" t="s">
        <v>263</v>
      </c>
      <c r="P19" s="20"/>
      <c r="S19" s="9" t="s">
        <v>190</v>
      </c>
      <c r="T19" s="56" t="s">
        <v>260</v>
      </c>
      <c r="U19" s="56" t="s">
        <v>260</v>
      </c>
      <c r="V19" s="56" t="s">
        <v>260</v>
      </c>
      <c r="W19" s="56" t="s">
        <v>260</v>
      </c>
      <c r="X19" s="56" t="s">
        <v>260</v>
      </c>
      <c r="Y19" s="57" t="s">
        <v>260</v>
      </c>
      <c r="Z19" s="57" t="s">
        <v>260</v>
      </c>
      <c r="AA19" s="57" t="s">
        <v>260</v>
      </c>
      <c r="AB19" s="58" t="s">
        <v>260</v>
      </c>
      <c r="AC19" s="57" t="s">
        <v>260</v>
      </c>
      <c r="AD19" s="57" t="s">
        <v>260</v>
      </c>
      <c r="AE19" s="56" t="s">
        <v>260</v>
      </c>
      <c r="AF19" s="56" t="s">
        <v>260</v>
      </c>
      <c r="AG19" s="71" t="s">
        <v>264</v>
      </c>
      <c r="AH19" s="70"/>
      <c r="AK19" s="9" t="s">
        <v>190</v>
      </c>
      <c r="AL19" s="56" t="s">
        <v>260</v>
      </c>
      <c r="AM19" s="56">
        <v>9777770</v>
      </c>
      <c r="AN19" s="56">
        <v>4101929</v>
      </c>
      <c r="AO19" s="56">
        <v>180634</v>
      </c>
      <c r="AP19" s="56">
        <v>74629</v>
      </c>
      <c r="AQ19" s="57" t="s">
        <v>260</v>
      </c>
      <c r="AR19" s="57" t="s">
        <v>260</v>
      </c>
      <c r="AS19" s="57" t="s">
        <v>260</v>
      </c>
      <c r="AT19" s="58" t="s">
        <v>260</v>
      </c>
      <c r="AU19" s="57" t="s">
        <v>260</v>
      </c>
      <c r="AV19" s="57" t="s">
        <v>260</v>
      </c>
      <c r="AW19" s="56" t="s">
        <v>260</v>
      </c>
      <c r="AX19" s="56" t="s">
        <v>260</v>
      </c>
      <c r="AY19" s="71" t="s">
        <v>264</v>
      </c>
      <c r="AZ19" s="70"/>
      <c r="BC19" s="9" t="s">
        <v>190</v>
      </c>
      <c r="BD19" s="56" t="s">
        <v>260</v>
      </c>
      <c r="BE19" s="56">
        <v>1741232</v>
      </c>
      <c r="BF19" s="56">
        <v>953077</v>
      </c>
      <c r="BG19" s="56">
        <v>88791</v>
      </c>
      <c r="BH19" s="56">
        <v>42902</v>
      </c>
      <c r="BI19" s="57" t="s">
        <v>260</v>
      </c>
      <c r="BJ19" s="57" t="s">
        <v>260</v>
      </c>
      <c r="BK19" s="57" t="s">
        <v>260</v>
      </c>
      <c r="BL19" s="58" t="s">
        <v>260</v>
      </c>
      <c r="BM19" s="57" t="s">
        <v>260</v>
      </c>
      <c r="BN19" s="57">
        <v>37808</v>
      </c>
      <c r="BO19" s="56">
        <v>48881</v>
      </c>
      <c r="BP19" s="56">
        <v>52387</v>
      </c>
      <c r="BQ19" s="71" t="s">
        <v>264</v>
      </c>
      <c r="BR19" s="70"/>
    </row>
    <row r="20" spans="1:70" x14ac:dyDescent="0.2">
      <c r="A20" s="6" t="str">
        <f>'Firm list'!B20</f>
        <v>AmberBirch</v>
      </c>
      <c r="B20" s="11">
        <v>10</v>
      </c>
      <c r="C20" s="11">
        <v>9</v>
      </c>
      <c r="D20" s="11">
        <v>2</v>
      </c>
      <c r="E20" s="11">
        <v>1</v>
      </c>
      <c r="F20" s="11">
        <v>3</v>
      </c>
      <c r="G20" s="13">
        <v>3</v>
      </c>
      <c r="H20" s="13">
        <v>6</v>
      </c>
      <c r="I20" s="13">
        <v>1</v>
      </c>
      <c r="J20" s="12">
        <v>1</v>
      </c>
      <c r="K20" s="13">
        <v>2</v>
      </c>
      <c r="L20" s="13">
        <v>3</v>
      </c>
      <c r="M20" s="11">
        <v>3</v>
      </c>
      <c r="N20" s="11">
        <v>1</v>
      </c>
      <c r="O20" s="44" t="s">
        <v>263</v>
      </c>
      <c r="P20" s="20"/>
      <c r="S20" s="9" t="s">
        <v>200</v>
      </c>
      <c r="T20" s="56" t="s">
        <v>260</v>
      </c>
      <c r="U20" s="56" t="s">
        <v>260</v>
      </c>
      <c r="V20" s="56" t="s">
        <v>260</v>
      </c>
      <c r="W20" s="56" t="s">
        <v>260</v>
      </c>
      <c r="X20" s="56" t="s">
        <v>260</v>
      </c>
      <c r="Y20" s="57" t="s">
        <v>260</v>
      </c>
      <c r="Z20" s="57" t="s">
        <v>260</v>
      </c>
      <c r="AA20" s="57" t="s">
        <v>260</v>
      </c>
      <c r="AB20" s="58" t="s">
        <v>260</v>
      </c>
      <c r="AC20" s="57" t="s">
        <v>260</v>
      </c>
      <c r="AD20" s="57" t="s">
        <v>260</v>
      </c>
      <c r="AE20" s="56" t="s">
        <v>260</v>
      </c>
      <c r="AF20" s="56" t="s">
        <v>260</v>
      </c>
      <c r="AG20" s="71" t="s">
        <v>264</v>
      </c>
      <c r="AH20" s="70"/>
      <c r="AK20" s="9" t="s">
        <v>200</v>
      </c>
      <c r="AL20" s="56">
        <v>30117</v>
      </c>
      <c r="AM20" s="56">
        <v>9040</v>
      </c>
      <c r="AN20" s="56" t="s">
        <v>338</v>
      </c>
      <c r="AO20" s="56" t="s">
        <v>343</v>
      </c>
      <c r="AP20" s="56" t="s">
        <v>338</v>
      </c>
      <c r="AQ20" s="57" t="s">
        <v>338</v>
      </c>
      <c r="AR20" s="57" t="s">
        <v>338</v>
      </c>
      <c r="AS20" s="57" t="s">
        <v>338</v>
      </c>
      <c r="AT20" s="58" t="s">
        <v>338</v>
      </c>
      <c r="AU20" s="57" t="s">
        <v>338</v>
      </c>
      <c r="AV20" s="57" t="s">
        <v>338</v>
      </c>
      <c r="AW20" s="56" t="s">
        <v>338</v>
      </c>
      <c r="AX20" s="56" t="s">
        <v>338</v>
      </c>
      <c r="AY20" s="71" t="s">
        <v>264</v>
      </c>
      <c r="AZ20" s="70" t="s">
        <v>272</v>
      </c>
      <c r="BC20" s="9" t="s">
        <v>200</v>
      </c>
      <c r="BD20" s="56" t="s">
        <v>260</v>
      </c>
      <c r="BE20" s="56" t="s">
        <v>260</v>
      </c>
      <c r="BF20" s="56" t="s">
        <v>260</v>
      </c>
      <c r="BG20" s="56" t="s">
        <v>260</v>
      </c>
      <c r="BH20" s="56" t="s">
        <v>260</v>
      </c>
      <c r="BI20" s="57" t="s">
        <v>260</v>
      </c>
      <c r="BJ20" s="57" t="s">
        <v>260</v>
      </c>
      <c r="BK20" s="57" t="s">
        <v>260</v>
      </c>
      <c r="BL20" s="58" t="s">
        <v>260</v>
      </c>
      <c r="BM20" s="57" t="s">
        <v>260</v>
      </c>
      <c r="BN20" s="57" t="s">
        <v>260</v>
      </c>
      <c r="BO20" s="56" t="s">
        <v>260</v>
      </c>
      <c r="BP20" s="56" t="s">
        <v>260</v>
      </c>
      <c r="BQ20" s="71" t="s">
        <v>264</v>
      </c>
      <c r="BR20" s="70"/>
    </row>
    <row r="21" spans="1:70" x14ac:dyDescent="0.2">
      <c r="A21" s="6" t="str">
        <f>'Firm list'!B21</f>
        <v>VALMIERMUIŽAS ALUS</v>
      </c>
      <c r="B21" s="11" t="s">
        <v>222</v>
      </c>
      <c r="C21" s="11">
        <v>210</v>
      </c>
      <c r="D21" s="11">
        <v>236</v>
      </c>
      <c r="E21" s="13">
        <v>230</v>
      </c>
      <c r="F21" s="13">
        <v>243</v>
      </c>
      <c r="G21" s="13">
        <v>226</v>
      </c>
      <c r="H21" s="12">
        <v>229</v>
      </c>
      <c r="I21" s="13">
        <v>221</v>
      </c>
      <c r="J21" s="13">
        <v>205</v>
      </c>
      <c r="K21" s="11">
        <v>186</v>
      </c>
      <c r="L21" s="11">
        <v>226</v>
      </c>
      <c r="M21" s="11">
        <v>260</v>
      </c>
      <c r="N21" s="11">
        <v>233</v>
      </c>
      <c r="O21" s="44" t="s">
        <v>263</v>
      </c>
      <c r="P21" s="20"/>
      <c r="S21" s="9" t="s">
        <v>75</v>
      </c>
      <c r="T21" s="56" t="s">
        <v>260</v>
      </c>
      <c r="U21" s="56">
        <v>-21317</v>
      </c>
      <c r="V21" s="56">
        <v>-154089</v>
      </c>
      <c r="W21" s="57">
        <v>-270442</v>
      </c>
      <c r="X21" s="57">
        <v>-220385</v>
      </c>
      <c r="Y21" s="57">
        <v>-1695600</v>
      </c>
      <c r="Z21" s="58">
        <v>-926858</v>
      </c>
      <c r="AA21" s="57">
        <v>-465145</v>
      </c>
      <c r="AB21" s="57">
        <v>-886122</v>
      </c>
      <c r="AC21" s="56">
        <v>-83611</v>
      </c>
      <c r="AD21" s="56">
        <v>-68345</v>
      </c>
      <c r="AE21" s="56">
        <v>-151478</v>
      </c>
      <c r="AF21" s="56">
        <v>-81165</v>
      </c>
      <c r="AG21" s="69" t="s">
        <v>263</v>
      </c>
      <c r="AH21" s="70"/>
      <c r="AK21" s="9" t="s">
        <v>75</v>
      </c>
      <c r="AL21" s="56" t="s">
        <v>260</v>
      </c>
      <c r="AM21" s="56">
        <v>17071487</v>
      </c>
      <c r="AN21" s="56">
        <v>24232828</v>
      </c>
      <c r="AO21" s="57">
        <v>21877095</v>
      </c>
      <c r="AP21" s="57">
        <v>18073713</v>
      </c>
      <c r="AQ21" s="57">
        <v>19101679</v>
      </c>
      <c r="AR21" s="58">
        <v>19698882</v>
      </c>
      <c r="AS21" s="57">
        <v>14667191</v>
      </c>
      <c r="AT21" s="57">
        <v>12483863</v>
      </c>
      <c r="AU21" s="56">
        <v>5790706</v>
      </c>
      <c r="AV21" s="56">
        <v>14239816</v>
      </c>
      <c r="AW21" s="56">
        <v>14805701</v>
      </c>
      <c r="AX21" s="56">
        <v>11332031</v>
      </c>
      <c r="AY21" s="76" t="s">
        <v>263</v>
      </c>
      <c r="AZ21" s="70"/>
      <c r="BC21" s="9" t="s">
        <v>75</v>
      </c>
      <c r="BD21" s="56" t="s">
        <v>260</v>
      </c>
      <c r="BE21" s="56">
        <v>4424782</v>
      </c>
      <c r="BF21" s="56">
        <v>4694489</v>
      </c>
      <c r="BG21" s="57">
        <v>4393840</v>
      </c>
      <c r="BH21" s="57">
        <v>4119197</v>
      </c>
      <c r="BI21" s="57">
        <v>4220024</v>
      </c>
      <c r="BJ21" s="58">
        <v>3981290</v>
      </c>
      <c r="BK21" s="57">
        <v>3474175</v>
      </c>
      <c r="BL21" s="57">
        <v>2990778</v>
      </c>
      <c r="BM21" s="56">
        <v>2314860</v>
      </c>
      <c r="BN21" s="56">
        <v>2851964</v>
      </c>
      <c r="BO21" s="56" t="s">
        <v>260</v>
      </c>
      <c r="BP21" s="56" t="s">
        <v>260</v>
      </c>
      <c r="BQ21" s="76" t="s">
        <v>263</v>
      </c>
      <c r="BR21" s="70"/>
    </row>
    <row r="22" spans="1:70" x14ac:dyDescent="0.2">
      <c r="A22" s="6" t="str">
        <f>'Firm list'!B22</f>
        <v>PUMAC LIEPAJA</v>
      </c>
      <c r="B22" s="11" t="s">
        <v>222</v>
      </c>
      <c r="C22" s="11">
        <v>87</v>
      </c>
      <c r="D22" s="11">
        <v>85</v>
      </c>
      <c r="E22" s="13">
        <v>83</v>
      </c>
      <c r="F22" s="13">
        <v>77</v>
      </c>
      <c r="G22" s="13">
        <v>60</v>
      </c>
      <c r="H22" s="12">
        <v>14</v>
      </c>
      <c r="I22" s="13">
        <v>1</v>
      </c>
      <c r="J22" s="13">
        <v>1</v>
      </c>
      <c r="K22" s="11" t="s">
        <v>222</v>
      </c>
      <c r="L22" s="11" t="s">
        <v>222</v>
      </c>
      <c r="M22" s="11" t="s">
        <v>222</v>
      </c>
      <c r="N22" s="11" t="s">
        <v>222</v>
      </c>
      <c r="O22" s="43" t="s">
        <v>264</v>
      </c>
      <c r="P22" s="20" t="s">
        <v>310</v>
      </c>
      <c r="S22" s="9" t="s">
        <v>81</v>
      </c>
      <c r="T22" s="56" t="s">
        <v>260</v>
      </c>
      <c r="U22" s="56">
        <v>-21591040</v>
      </c>
      <c r="V22" s="56">
        <v>-2827778</v>
      </c>
      <c r="W22" s="57">
        <v>-710188</v>
      </c>
      <c r="X22" s="57">
        <v>-907520</v>
      </c>
      <c r="Y22" s="57">
        <v>-217435</v>
      </c>
      <c r="Z22" s="58" t="s">
        <v>260</v>
      </c>
      <c r="AA22" s="57" t="s">
        <v>260</v>
      </c>
      <c r="AB22" s="57" t="s">
        <v>260</v>
      </c>
      <c r="AC22" s="56" t="s">
        <v>260</v>
      </c>
      <c r="AD22" s="56" t="s">
        <v>260</v>
      </c>
      <c r="AE22" s="56" t="s">
        <v>260</v>
      </c>
      <c r="AF22" s="56" t="s">
        <v>260</v>
      </c>
      <c r="AG22" s="72" t="s">
        <v>337</v>
      </c>
      <c r="AH22" s="70"/>
      <c r="AK22" s="9" t="s">
        <v>81</v>
      </c>
      <c r="AL22" s="56" t="s">
        <v>260</v>
      </c>
      <c r="AM22" s="56">
        <v>21647336</v>
      </c>
      <c r="AN22" s="56">
        <v>26626401</v>
      </c>
      <c r="AO22" s="57">
        <v>24001131</v>
      </c>
      <c r="AP22" s="57">
        <v>12397598</v>
      </c>
      <c r="AQ22" s="57">
        <v>7420678</v>
      </c>
      <c r="AR22" s="58">
        <v>220236</v>
      </c>
      <c r="AS22" s="57">
        <v>48332</v>
      </c>
      <c r="AT22" s="57">
        <v>27907</v>
      </c>
      <c r="AU22" s="56" t="s">
        <v>260</v>
      </c>
      <c r="AV22" s="56" t="s">
        <v>260</v>
      </c>
      <c r="AW22" s="56" t="s">
        <v>260</v>
      </c>
      <c r="AX22" s="56" t="s">
        <v>260</v>
      </c>
      <c r="AY22" s="77" t="s">
        <v>342</v>
      </c>
      <c r="AZ22" s="70"/>
      <c r="BC22" s="9" t="s">
        <v>81</v>
      </c>
      <c r="BD22" s="56" t="s">
        <v>260</v>
      </c>
      <c r="BE22" s="56">
        <v>3185787</v>
      </c>
      <c r="BF22" s="56">
        <v>2547673</v>
      </c>
      <c r="BG22" s="57">
        <v>2071993</v>
      </c>
      <c r="BH22" s="57">
        <v>1482843</v>
      </c>
      <c r="BI22" s="57">
        <v>1138944</v>
      </c>
      <c r="BJ22" s="58">
        <v>241300</v>
      </c>
      <c r="BK22" s="57">
        <v>36679</v>
      </c>
      <c r="BL22" s="57">
        <v>11962</v>
      </c>
      <c r="BM22" s="56" t="s">
        <v>260</v>
      </c>
      <c r="BN22" s="56" t="s">
        <v>260</v>
      </c>
      <c r="BO22" s="56" t="s">
        <v>260</v>
      </c>
      <c r="BP22" s="56" t="s">
        <v>260</v>
      </c>
      <c r="BQ22" s="77" t="s">
        <v>342</v>
      </c>
      <c r="BR22" s="70"/>
    </row>
    <row r="23" spans="1:70" x14ac:dyDescent="0.2">
      <c r="A23" s="6" t="str">
        <f>'Firm list'!B23</f>
        <v>CEWOOD</v>
      </c>
      <c r="B23" s="11">
        <v>127</v>
      </c>
      <c r="C23" s="11">
        <v>120</v>
      </c>
      <c r="D23" s="11">
        <v>111</v>
      </c>
      <c r="E23" s="13">
        <v>67</v>
      </c>
      <c r="F23" s="13">
        <v>68</v>
      </c>
      <c r="G23" s="13">
        <v>71</v>
      </c>
      <c r="H23" s="12">
        <v>75</v>
      </c>
      <c r="I23" s="13">
        <v>68</v>
      </c>
      <c r="J23" s="13">
        <v>67</v>
      </c>
      <c r="K23" s="11">
        <v>63</v>
      </c>
      <c r="L23" s="11">
        <v>52</v>
      </c>
      <c r="M23" s="11">
        <v>41</v>
      </c>
      <c r="N23" s="11">
        <v>30</v>
      </c>
      <c r="O23" s="44" t="s">
        <v>263</v>
      </c>
      <c r="P23" s="20"/>
      <c r="S23" s="9" t="s">
        <v>85</v>
      </c>
      <c r="T23" s="56">
        <v>-819474</v>
      </c>
      <c r="U23" s="56">
        <v>-1000400</v>
      </c>
      <c r="V23" s="56">
        <v>-306655</v>
      </c>
      <c r="W23" s="57">
        <v>-951104</v>
      </c>
      <c r="X23" s="57">
        <v>-317090</v>
      </c>
      <c r="Y23" s="57">
        <v>-115629</v>
      </c>
      <c r="Z23" s="58">
        <v>-155711</v>
      </c>
      <c r="AA23" s="57">
        <v>-565719</v>
      </c>
      <c r="AB23" s="57">
        <v>-615976</v>
      </c>
      <c r="AC23" s="56">
        <v>-299209</v>
      </c>
      <c r="AD23" s="56">
        <v>-466806</v>
      </c>
      <c r="AE23" s="56">
        <v>-858128</v>
      </c>
      <c r="AF23" s="56">
        <v>-559884</v>
      </c>
      <c r="AG23" s="69" t="s">
        <v>263</v>
      </c>
      <c r="AH23" s="70"/>
      <c r="AK23" s="9" t="s">
        <v>85</v>
      </c>
      <c r="AL23" s="56">
        <v>10538765</v>
      </c>
      <c r="AM23" s="56">
        <v>10018435</v>
      </c>
      <c r="AN23" s="56">
        <v>9435322</v>
      </c>
      <c r="AO23" s="57">
        <v>7016988</v>
      </c>
      <c r="AP23" s="57">
        <v>5816047</v>
      </c>
      <c r="AQ23" s="57">
        <v>5517672</v>
      </c>
      <c r="AR23" s="58">
        <v>5683824</v>
      </c>
      <c r="AS23" s="57">
        <v>5372787</v>
      </c>
      <c r="AT23" s="57">
        <v>4605931</v>
      </c>
      <c r="AU23" s="56">
        <v>4226454</v>
      </c>
      <c r="AV23" s="56">
        <v>3840233</v>
      </c>
      <c r="AW23" s="56">
        <v>3387547</v>
      </c>
      <c r="AX23" s="56">
        <v>1751693</v>
      </c>
      <c r="AY23" s="76" t="s">
        <v>263</v>
      </c>
      <c r="AZ23" s="70"/>
      <c r="BC23" s="9" t="s">
        <v>85</v>
      </c>
      <c r="BD23" s="56">
        <v>3106203</v>
      </c>
      <c r="BE23" s="56">
        <v>2592386</v>
      </c>
      <c r="BF23" s="56">
        <v>2346967</v>
      </c>
      <c r="BG23" s="57">
        <v>1496431</v>
      </c>
      <c r="BH23" s="57">
        <v>1415745</v>
      </c>
      <c r="BI23" s="57">
        <v>1237768</v>
      </c>
      <c r="BJ23" s="58">
        <v>1240030</v>
      </c>
      <c r="BK23" s="57">
        <v>996041</v>
      </c>
      <c r="BL23" s="57">
        <v>897858</v>
      </c>
      <c r="BM23" s="56">
        <v>758006</v>
      </c>
      <c r="BN23" s="56">
        <v>1139550</v>
      </c>
      <c r="BO23" s="56">
        <v>368029</v>
      </c>
      <c r="BP23" s="56" t="s">
        <v>260</v>
      </c>
      <c r="BQ23" s="76" t="s">
        <v>263</v>
      </c>
      <c r="BR23" s="70"/>
    </row>
    <row r="24" spans="1:70" x14ac:dyDescent="0.2">
      <c r="A24" s="6" t="str">
        <f>'Firm list'!B24</f>
        <v>VUDLANDE</v>
      </c>
      <c r="B24" s="11" t="s">
        <v>222</v>
      </c>
      <c r="C24" s="11">
        <v>6</v>
      </c>
      <c r="D24" s="11">
        <v>6</v>
      </c>
      <c r="E24" s="13">
        <v>6</v>
      </c>
      <c r="F24" s="13">
        <v>6</v>
      </c>
      <c r="G24" s="13">
        <v>6</v>
      </c>
      <c r="H24" s="12">
        <v>6</v>
      </c>
      <c r="I24" s="13">
        <v>7</v>
      </c>
      <c r="J24" s="13">
        <v>7</v>
      </c>
      <c r="K24" s="11">
        <v>7</v>
      </c>
      <c r="L24" s="11">
        <v>8</v>
      </c>
      <c r="M24" s="11">
        <v>10</v>
      </c>
      <c r="N24" s="11"/>
      <c r="O24" s="44" t="s">
        <v>263</v>
      </c>
      <c r="P24" s="20"/>
      <c r="S24" s="9" t="s">
        <v>100</v>
      </c>
      <c r="T24" s="56" t="s">
        <v>260</v>
      </c>
      <c r="U24" s="56" t="s">
        <v>260</v>
      </c>
      <c r="V24" s="56" t="s">
        <v>260</v>
      </c>
      <c r="W24" s="57" t="s">
        <v>260</v>
      </c>
      <c r="X24" s="57" t="s">
        <v>260</v>
      </c>
      <c r="Y24" s="57" t="s">
        <v>260</v>
      </c>
      <c r="Z24" s="58" t="s">
        <v>260</v>
      </c>
      <c r="AA24" s="57" t="s">
        <v>260</v>
      </c>
      <c r="AB24" s="57" t="s">
        <v>260</v>
      </c>
      <c r="AC24" s="56" t="s">
        <v>260</v>
      </c>
      <c r="AD24" s="56" t="s">
        <v>260</v>
      </c>
      <c r="AE24" s="56" t="s">
        <v>260</v>
      </c>
      <c r="AF24" s="56" t="s">
        <v>260</v>
      </c>
      <c r="AG24" s="71" t="s">
        <v>264</v>
      </c>
      <c r="AH24" s="70"/>
      <c r="AK24" s="9" t="s">
        <v>100</v>
      </c>
      <c r="AL24" s="56" t="s">
        <v>260</v>
      </c>
      <c r="AM24" s="56">
        <v>3293954</v>
      </c>
      <c r="AN24" s="56">
        <v>3238097</v>
      </c>
      <c r="AO24" s="57">
        <v>2702046</v>
      </c>
      <c r="AP24" s="57">
        <v>2631479</v>
      </c>
      <c r="AQ24" s="57">
        <v>2655026</v>
      </c>
      <c r="AR24" s="58">
        <v>2681245</v>
      </c>
      <c r="AS24" s="57">
        <v>2521113</v>
      </c>
      <c r="AT24" s="57">
        <v>2228728</v>
      </c>
      <c r="AU24" s="56">
        <v>2108053</v>
      </c>
      <c r="AV24" s="56">
        <v>1887778</v>
      </c>
      <c r="AW24" s="56">
        <v>1718895</v>
      </c>
      <c r="AX24" s="56">
        <v>1529904</v>
      </c>
      <c r="AY24" s="76" t="s">
        <v>263</v>
      </c>
      <c r="AZ24" s="70"/>
      <c r="BC24" s="9" t="s">
        <v>100</v>
      </c>
      <c r="BD24" s="56" t="s">
        <v>260</v>
      </c>
      <c r="BE24" s="56">
        <v>117357</v>
      </c>
      <c r="BF24" s="56">
        <v>95116</v>
      </c>
      <c r="BG24" s="57">
        <v>88992</v>
      </c>
      <c r="BH24" s="57">
        <v>87401</v>
      </c>
      <c r="BI24" s="57">
        <v>81011</v>
      </c>
      <c r="BJ24" s="58">
        <v>74141</v>
      </c>
      <c r="BK24" s="57">
        <v>77664</v>
      </c>
      <c r="BL24" s="57">
        <v>73717</v>
      </c>
      <c r="BM24" s="56">
        <v>74668</v>
      </c>
      <c r="BN24" s="56">
        <v>81948</v>
      </c>
      <c r="BO24" s="56">
        <v>75037</v>
      </c>
      <c r="BP24" s="56" t="s">
        <v>260</v>
      </c>
      <c r="BQ24" s="76" t="s">
        <v>263</v>
      </c>
      <c r="BR24" s="70"/>
    </row>
    <row r="25" spans="1:70" x14ac:dyDescent="0.2">
      <c r="A25" s="6" t="str">
        <f>'Firm list'!B25</f>
        <v>Artex Latvia</v>
      </c>
      <c r="B25" s="11" t="s">
        <v>222</v>
      </c>
      <c r="C25" s="11">
        <v>155</v>
      </c>
      <c r="D25" s="11">
        <v>131</v>
      </c>
      <c r="E25" s="13">
        <v>108</v>
      </c>
      <c r="F25" s="13">
        <v>103</v>
      </c>
      <c r="G25" s="13">
        <v>96</v>
      </c>
      <c r="H25" s="12">
        <v>103</v>
      </c>
      <c r="I25" s="13">
        <v>60</v>
      </c>
      <c r="J25" s="13">
        <v>35</v>
      </c>
      <c r="K25" s="11">
        <v>24</v>
      </c>
      <c r="L25" s="11">
        <v>2</v>
      </c>
      <c r="M25" s="11">
        <v>0</v>
      </c>
      <c r="N25" s="11">
        <v>0</v>
      </c>
      <c r="O25" s="44" t="s">
        <v>263</v>
      </c>
      <c r="P25" s="20"/>
      <c r="S25" s="9" t="s">
        <v>95</v>
      </c>
      <c r="T25" s="56" t="s">
        <v>260</v>
      </c>
      <c r="U25" s="56">
        <v>-5768347</v>
      </c>
      <c r="V25" s="56">
        <v>-4554152</v>
      </c>
      <c r="W25" s="57">
        <v>-7937831</v>
      </c>
      <c r="X25" s="57">
        <v>-1583552</v>
      </c>
      <c r="Y25" s="57">
        <v>-408265</v>
      </c>
      <c r="Z25" s="58">
        <v>-605614</v>
      </c>
      <c r="AA25" s="57" t="s">
        <v>260</v>
      </c>
      <c r="AB25" s="57" t="s">
        <v>260</v>
      </c>
      <c r="AC25" s="56" t="s">
        <v>260</v>
      </c>
      <c r="AD25" s="56" t="s">
        <v>260</v>
      </c>
      <c r="AE25" s="56" t="s">
        <v>260</v>
      </c>
      <c r="AF25" s="56" t="s">
        <v>260</v>
      </c>
      <c r="AG25" s="71" t="s">
        <v>264</v>
      </c>
      <c r="AH25" s="70"/>
      <c r="AK25" s="9" t="s">
        <v>95</v>
      </c>
      <c r="AL25" s="56" t="s">
        <v>260</v>
      </c>
      <c r="AM25" s="56">
        <v>16449406</v>
      </c>
      <c r="AN25" s="56">
        <v>14655944</v>
      </c>
      <c r="AO25" s="57">
        <v>12945298</v>
      </c>
      <c r="AP25" s="57">
        <v>10178101</v>
      </c>
      <c r="AQ25" s="57">
        <v>7537714</v>
      </c>
      <c r="AR25" s="58">
        <v>6565998</v>
      </c>
      <c r="AS25" s="57">
        <v>4272962</v>
      </c>
      <c r="AT25" s="57">
        <v>1282637</v>
      </c>
      <c r="AU25" s="56">
        <v>422347</v>
      </c>
      <c r="AV25" s="56" t="s">
        <v>338</v>
      </c>
      <c r="AW25" s="56" t="s">
        <v>338</v>
      </c>
      <c r="AX25" s="56" t="s">
        <v>338</v>
      </c>
      <c r="AY25" s="76" t="s">
        <v>263</v>
      </c>
      <c r="AZ25" s="70"/>
      <c r="BC25" s="9" t="s">
        <v>95</v>
      </c>
      <c r="BD25" s="56" t="s">
        <v>260</v>
      </c>
      <c r="BE25" s="56">
        <v>3300140</v>
      </c>
      <c r="BF25" s="56">
        <v>2563557</v>
      </c>
      <c r="BG25" s="57">
        <v>1962707</v>
      </c>
      <c r="BH25" s="57">
        <v>1673246</v>
      </c>
      <c r="BI25" s="57">
        <v>1367960</v>
      </c>
      <c r="BJ25" s="58" t="s">
        <v>260</v>
      </c>
      <c r="BK25" s="57">
        <v>898202</v>
      </c>
      <c r="BL25" s="57" t="s">
        <v>260</v>
      </c>
      <c r="BM25" s="56" t="s">
        <v>260</v>
      </c>
      <c r="BN25" s="56" t="s">
        <v>260</v>
      </c>
      <c r="BO25" s="56" t="s">
        <v>260</v>
      </c>
      <c r="BP25" s="56" t="s">
        <v>260</v>
      </c>
      <c r="BQ25" s="71" t="s">
        <v>264</v>
      </c>
      <c r="BR25" s="70"/>
    </row>
    <row r="26" spans="1:70" x14ac:dyDescent="0.2">
      <c r="A26" s="6" t="str">
        <f>'Firm list'!B26</f>
        <v>SFM Latvia</v>
      </c>
      <c r="B26" s="11">
        <v>108</v>
      </c>
      <c r="C26" s="11">
        <v>108</v>
      </c>
      <c r="D26" s="11">
        <v>102</v>
      </c>
      <c r="E26" s="13">
        <v>135</v>
      </c>
      <c r="F26" s="13">
        <v>115</v>
      </c>
      <c r="G26" s="13">
        <v>104</v>
      </c>
      <c r="H26" s="12">
        <v>111</v>
      </c>
      <c r="I26" s="13">
        <v>98</v>
      </c>
      <c r="J26" s="13">
        <v>82</v>
      </c>
      <c r="K26" s="11">
        <v>74</v>
      </c>
      <c r="L26" s="11">
        <v>74</v>
      </c>
      <c r="M26" s="11">
        <v>74</v>
      </c>
      <c r="N26" s="11">
        <v>73</v>
      </c>
      <c r="O26" s="44" t="s">
        <v>263</v>
      </c>
      <c r="P26" s="20"/>
      <c r="S26" s="9" t="s">
        <v>104</v>
      </c>
      <c r="T26" s="56">
        <v>-3086890</v>
      </c>
      <c r="U26" s="56">
        <v>-6399059</v>
      </c>
      <c r="V26" s="56">
        <v>-6486869</v>
      </c>
      <c r="W26" s="57">
        <v>-5089609</v>
      </c>
      <c r="X26" s="57">
        <v>-2298728</v>
      </c>
      <c r="Y26" s="57">
        <v>-2564153</v>
      </c>
      <c r="Z26" s="58">
        <v>-3752044</v>
      </c>
      <c r="AA26" s="57">
        <v>-1859123</v>
      </c>
      <c r="AB26" s="57">
        <v>-694254</v>
      </c>
      <c r="AC26" s="56">
        <v>-412864</v>
      </c>
      <c r="AD26" s="56">
        <v>-446004</v>
      </c>
      <c r="AE26" s="56">
        <v>-448193</v>
      </c>
      <c r="AF26" s="56" t="s">
        <v>260</v>
      </c>
      <c r="AG26" s="69" t="s">
        <v>263</v>
      </c>
      <c r="AH26" s="70"/>
      <c r="AK26" s="9" t="s">
        <v>104</v>
      </c>
      <c r="AL26" s="56">
        <v>24291524</v>
      </c>
      <c r="AM26" s="56">
        <v>21696229</v>
      </c>
      <c r="AN26" s="56">
        <v>17603250</v>
      </c>
      <c r="AO26" s="57">
        <v>60877228</v>
      </c>
      <c r="AP26" s="57">
        <v>44136749</v>
      </c>
      <c r="AQ26" s="57">
        <v>17393548</v>
      </c>
      <c r="AR26" s="58">
        <v>22003118</v>
      </c>
      <c r="AS26" s="57">
        <v>19344872</v>
      </c>
      <c r="AT26" s="57">
        <v>14802416</v>
      </c>
      <c r="AU26" s="56">
        <v>12979124</v>
      </c>
      <c r="AV26" s="56">
        <v>12760446</v>
      </c>
      <c r="AW26" s="56">
        <v>11691990</v>
      </c>
      <c r="AX26" s="56">
        <v>10689176</v>
      </c>
      <c r="AY26" s="76" t="s">
        <v>263</v>
      </c>
      <c r="AZ26" s="70"/>
      <c r="BC26" s="9" t="s">
        <v>104</v>
      </c>
      <c r="BD26" s="56">
        <v>2059977</v>
      </c>
      <c r="BE26" s="56">
        <v>1927637</v>
      </c>
      <c r="BF26" s="56">
        <v>1697772</v>
      </c>
      <c r="BG26" s="57">
        <v>2355024</v>
      </c>
      <c r="BH26" s="57">
        <v>2005075</v>
      </c>
      <c r="BI26" s="57">
        <v>1577942</v>
      </c>
      <c r="BJ26" s="58">
        <v>1344392</v>
      </c>
      <c r="BK26" s="57">
        <v>1275933</v>
      </c>
      <c r="BL26" s="57">
        <v>1039541</v>
      </c>
      <c r="BM26" s="56">
        <v>821444</v>
      </c>
      <c r="BN26" s="56">
        <v>702265</v>
      </c>
      <c r="BO26" s="56">
        <v>606780</v>
      </c>
      <c r="BP26" s="56" t="s">
        <v>260</v>
      </c>
      <c r="BQ26" s="76" t="s">
        <v>263</v>
      </c>
      <c r="BR26" s="70"/>
    </row>
    <row r="27" spans="1:70" x14ac:dyDescent="0.2">
      <c r="A27" s="6" t="str">
        <f>'Firm list'!B27</f>
        <v>EB Liepāja</v>
      </c>
      <c r="B27" s="11">
        <v>192</v>
      </c>
      <c r="C27" s="11">
        <v>220</v>
      </c>
      <c r="D27" s="11">
        <v>277</v>
      </c>
      <c r="E27" s="13">
        <v>246</v>
      </c>
      <c r="F27" s="13">
        <v>213</v>
      </c>
      <c r="G27" s="13">
        <v>206</v>
      </c>
      <c r="H27" s="12">
        <v>209</v>
      </c>
      <c r="I27" s="13">
        <v>174</v>
      </c>
      <c r="J27" s="13">
        <v>153</v>
      </c>
      <c r="K27" s="11">
        <v>101</v>
      </c>
      <c r="L27" s="11">
        <v>86</v>
      </c>
      <c r="M27" s="11">
        <v>70</v>
      </c>
      <c r="N27" s="11">
        <v>59</v>
      </c>
      <c r="O27" s="44" t="s">
        <v>263</v>
      </c>
      <c r="P27" s="20"/>
      <c r="S27" s="9" t="s">
        <v>110</v>
      </c>
      <c r="T27" s="56">
        <v>-27761</v>
      </c>
      <c r="U27" s="56">
        <v>-367817</v>
      </c>
      <c r="V27" s="56">
        <v>-201738</v>
      </c>
      <c r="W27" s="57" t="s">
        <v>260</v>
      </c>
      <c r="X27" s="57" t="s">
        <v>260</v>
      </c>
      <c r="Y27" s="57" t="s">
        <v>260</v>
      </c>
      <c r="Z27" s="58" t="s">
        <v>260</v>
      </c>
      <c r="AA27" s="57" t="s">
        <v>260</v>
      </c>
      <c r="AB27" s="57" t="s">
        <v>260</v>
      </c>
      <c r="AC27" s="56" t="s">
        <v>260</v>
      </c>
      <c r="AD27" s="56">
        <v>-13871</v>
      </c>
      <c r="AE27" s="56">
        <v>-267955</v>
      </c>
      <c r="AF27" s="56">
        <v>-2659</v>
      </c>
      <c r="AG27" s="71" t="s">
        <v>264</v>
      </c>
      <c r="AH27" s="70"/>
      <c r="AK27" s="9" t="s">
        <v>110</v>
      </c>
      <c r="AL27" s="56">
        <v>8632772</v>
      </c>
      <c r="AM27" s="56">
        <v>8217987</v>
      </c>
      <c r="AN27" s="56">
        <v>7428951</v>
      </c>
      <c r="AO27" s="57">
        <v>6776697</v>
      </c>
      <c r="AP27" s="57">
        <v>4557049</v>
      </c>
      <c r="AQ27" s="57">
        <v>3638136</v>
      </c>
      <c r="AR27" s="58">
        <v>4670600</v>
      </c>
      <c r="AS27" s="57">
        <v>4206259</v>
      </c>
      <c r="AT27" s="57">
        <v>3484504</v>
      </c>
      <c r="AU27" s="56">
        <v>2366918</v>
      </c>
      <c r="AV27" s="56">
        <v>1396566</v>
      </c>
      <c r="AW27" s="56">
        <v>869449</v>
      </c>
      <c r="AX27" s="56">
        <v>700882</v>
      </c>
      <c r="AY27" s="76" t="s">
        <v>263</v>
      </c>
      <c r="AZ27" s="70"/>
      <c r="BC27" s="9" t="s">
        <v>110</v>
      </c>
      <c r="BD27" s="56">
        <v>2972372</v>
      </c>
      <c r="BE27" s="56">
        <v>2974450</v>
      </c>
      <c r="BF27" s="56">
        <v>3282672</v>
      </c>
      <c r="BG27" s="57">
        <v>2612167</v>
      </c>
      <c r="BH27" s="57">
        <v>2121118</v>
      </c>
      <c r="BI27" s="57">
        <v>1809384</v>
      </c>
      <c r="BJ27" s="58">
        <v>1888889</v>
      </c>
      <c r="BK27" s="57">
        <v>1539649</v>
      </c>
      <c r="BL27" s="57">
        <v>1336475</v>
      </c>
      <c r="BM27" s="56">
        <v>845867</v>
      </c>
      <c r="BN27" s="56">
        <v>692084</v>
      </c>
      <c r="BO27" s="56">
        <v>545361</v>
      </c>
      <c r="BP27" s="56" t="s">
        <v>260</v>
      </c>
      <c r="BQ27" s="76" t="s">
        <v>263</v>
      </c>
      <c r="BR27" s="70"/>
    </row>
    <row r="28" spans="1:70" x14ac:dyDescent="0.2">
      <c r="A28" s="6" t="str">
        <f>'Firm list'!B28</f>
        <v>Stiga RM</v>
      </c>
      <c r="B28" s="11">
        <v>95</v>
      </c>
      <c r="C28" s="11">
        <v>75</v>
      </c>
      <c r="D28" s="11">
        <v>68</v>
      </c>
      <c r="E28" s="13">
        <v>64</v>
      </c>
      <c r="F28" s="13">
        <v>72</v>
      </c>
      <c r="G28" s="13">
        <v>73</v>
      </c>
      <c r="H28" s="12">
        <v>76</v>
      </c>
      <c r="I28" s="13">
        <v>83</v>
      </c>
      <c r="J28" s="13">
        <v>78</v>
      </c>
      <c r="K28" s="11">
        <v>52</v>
      </c>
      <c r="L28" s="11">
        <v>39</v>
      </c>
      <c r="M28" s="11">
        <v>29</v>
      </c>
      <c r="N28" s="11">
        <v>30</v>
      </c>
      <c r="O28" s="44" t="s">
        <v>263</v>
      </c>
      <c r="P28" s="20"/>
      <c r="S28" s="9" t="s">
        <v>119</v>
      </c>
      <c r="T28" s="56">
        <v>-1398765</v>
      </c>
      <c r="U28" s="56">
        <v>-1346395</v>
      </c>
      <c r="V28" s="56">
        <v>-900568</v>
      </c>
      <c r="W28" s="57">
        <v>-3641942</v>
      </c>
      <c r="X28" s="57" t="s">
        <v>260</v>
      </c>
      <c r="Y28" s="57" t="s">
        <v>260</v>
      </c>
      <c r="Z28" s="58" t="s">
        <v>260</v>
      </c>
      <c r="AA28" s="57" t="s">
        <v>260</v>
      </c>
      <c r="AB28" s="57" t="s">
        <v>260</v>
      </c>
      <c r="AC28" s="56" t="s">
        <v>260</v>
      </c>
      <c r="AD28" s="56">
        <v>-929301</v>
      </c>
      <c r="AE28" s="56">
        <v>-2017</v>
      </c>
      <c r="AF28" s="56">
        <v>-15756</v>
      </c>
      <c r="AG28" s="71" t="s">
        <v>264</v>
      </c>
      <c r="AH28" s="70"/>
      <c r="AK28" s="9" t="s">
        <v>119</v>
      </c>
      <c r="AL28" s="56">
        <v>13132882</v>
      </c>
      <c r="AM28" s="56">
        <v>10931159</v>
      </c>
      <c r="AN28" s="56">
        <v>8192943</v>
      </c>
      <c r="AO28" s="57">
        <v>10851636</v>
      </c>
      <c r="AP28" s="57">
        <v>6943767</v>
      </c>
      <c r="AQ28" s="57">
        <v>5285319</v>
      </c>
      <c r="AR28" s="58">
        <v>5537013</v>
      </c>
      <c r="AS28" s="57">
        <v>5621652</v>
      </c>
      <c r="AT28" s="57">
        <v>6047473</v>
      </c>
      <c r="AU28" s="56">
        <v>5000487</v>
      </c>
      <c r="AV28" s="56">
        <v>3065305</v>
      </c>
      <c r="AW28" s="56">
        <v>1992739</v>
      </c>
      <c r="AX28" s="56">
        <v>1520335</v>
      </c>
      <c r="AY28" s="76" t="s">
        <v>263</v>
      </c>
      <c r="AZ28" s="70"/>
      <c r="BC28" s="9" t="s">
        <v>119</v>
      </c>
      <c r="BD28" s="56">
        <v>3225805</v>
      </c>
      <c r="BE28" s="56">
        <v>2309979</v>
      </c>
      <c r="BF28" s="56">
        <v>1629182</v>
      </c>
      <c r="BG28" s="57">
        <v>1393631</v>
      </c>
      <c r="BH28" s="57">
        <v>1414101</v>
      </c>
      <c r="BI28" s="57">
        <v>1433753</v>
      </c>
      <c r="BJ28" s="58">
        <v>1384031</v>
      </c>
      <c r="BK28" s="57">
        <v>1418286</v>
      </c>
      <c r="BL28" s="57" t="s">
        <v>260</v>
      </c>
      <c r="BM28" s="56">
        <v>731302</v>
      </c>
      <c r="BN28" s="56">
        <v>228862</v>
      </c>
      <c r="BO28" s="56">
        <v>150255</v>
      </c>
      <c r="BP28" s="56" t="s">
        <v>260</v>
      </c>
      <c r="BQ28" s="71" t="s">
        <v>264</v>
      </c>
      <c r="BR28" s="70"/>
    </row>
    <row r="29" spans="1:70" x14ac:dyDescent="0.2">
      <c r="A29" s="6" t="str">
        <f>'Firm list'!B29</f>
        <v>Haugaard Baltic</v>
      </c>
      <c r="B29" s="11">
        <v>0</v>
      </c>
      <c r="C29" s="11">
        <v>0</v>
      </c>
      <c r="D29" s="11">
        <v>0</v>
      </c>
      <c r="E29" s="13">
        <v>0</v>
      </c>
      <c r="F29" s="13">
        <v>0</v>
      </c>
      <c r="G29" s="13">
        <v>0</v>
      </c>
      <c r="H29" s="12">
        <v>0</v>
      </c>
      <c r="I29" s="13">
        <v>0</v>
      </c>
      <c r="J29" s="14" t="s">
        <v>222</v>
      </c>
      <c r="K29" t="s">
        <v>222</v>
      </c>
      <c r="L29" t="s">
        <v>222</v>
      </c>
      <c r="M29" t="s">
        <v>222</v>
      </c>
      <c r="N29" t="s">
        <v>222</v>
      </c>
      <c r="O29" s="22" t="s">
        <v>264</v>
      </c>
      <c r="P29" s="20" t="s">
        <v>267</v>
      </c>
      <c r="S29" s="9" t="s">
        <v>115</v>
      </c>
      <c r="T29" s="56" t="s">
        <v>260</v>
      </c>
      <c r="U29" s="56" t="s">
        <v>260</v>
      </c>
      <c r="V29" s="56" t="s">
        <v>260</v>
      </c>
      <c r="W29" s="57" t="s">
        <v>260</v>
      </c>
      <c r="X29" s="57" t="s">
        <v>260</v>
      </c>
      <c r="Y29" s="57" t="s">
        <v>260</v>
      </c>
      <c r="Z29" s="58" t="s">
        <v>260</v>
      </c>
      <c r="AA29" s="57" t="s">
        <v>260</v>
      </c>
      <c r="AB29" s="59" t="s">
        <v>222</v>
      </c>
      <c r="AC29" s="50" t="s">
        <v>222</v>
      </c>
      <c r="AD29" s="50" t="s">
        <v>222</v>
      </c>
      <c r="AE29" s="50" t="s">
        <v>222</v>
      </c>
      <c r="AF29" s="50" t="s">
        <v>222</v>
      </c>
      <c r="AG29" s="71" t="s">
        <v>264</v>
      </c>
      <c r="AH29" s="70"/>
      <c r="AK29" s="9" t="s">
        <v>115</v>
      </c>
      <c r="AL29" s="56">
        <v>360000</v>
      </c>
      <c r="AM29" s="56">
        <v>360000</v>
      </c>
      <c r="AN29" s="56">
        <v>34000</v>
      </c>
      <c r="AO29" s="57" t="s">
        <v>343</v>
      </c>
      <c r="AP29" s="57" t="s">
        <v>338</v>
      </c>
      <c r="AQ29" s="57" t="s">
        <v>338</v>
      </c>
      <c r="AR29" s="58" t="s">
        <v>338</v>
      </c>
      <c r="AS29" s="57" t="s">
        <v>338</v>
      </c>
      <c r="AT29" s="59" t="s">
        <v>222</v>
      </c>
      <c r="AU29" s="50" t="s">
        <v>222</v>
      </c>
      <c r="AV29" s="50" t="s">
        <v>222</v>
      </c>
      <c r="AW29" s="50" t="s">
        <v>222</v>
      </c>
      <c r="AX29" s="50" t="s">
        <v>222</v>
      </c>
      <c r="AY29" s="71" t="s">
        <v>264</v>
      </c>
      <c r="AZ29" s="70"/>
      <c r="BC29" s="9" t="s">
        <v>115</v>
      </c>
      <c r="BD29" s="56" t="s">
        <v>345</v>
      </c>
      <c r="BE29" s="56" t="s">
        <v>338</v>
      </c>
      <c r="BF29" s="56" t="s">
        <v>338</v>
      </c>
      <c r="BG29" s="57" t="s">
        <v>338</v>
      </c>
      <c r="BH29" s="57" t="s">
        <v>338</v>
      </c>
      <c r="BI29" s="57" t="s">
        <v>338</v>
      </c>
      <c r="BJ29" s="58" t="s">
        <v>345</v>
      </c>
      <c r="BK29" s="57" t="s">
        <v>345</v>
      </c>
      <c r="BL29" s="59" t="s">
        <v>222</v>
      </c>
      <c r="BM29" s="50" t="s">
        <v>222</v>
      </c>
      <c r="BN29" s="50" t="s">
        <v>222</v>
      </c>
      <c r="BO29" s="50" t="s">
        <v>222</v>
      </c>
      <c r="BP29" s="50" t="s">
        <v>222</v>
      </c>
      <c r="BQ29" s="71" t="s">
        <v>264</v>
      </c>
      <c r="BR29" s="70"/>
    </row>
    <row r="30" spans="1:70" x14ac:dyDescent="0.2">
      <c r="A30" s="6" t="str">
        <f>'Firm list'!B30</f>
        <v>IKTK</v>
      </c>
      <c r="B30" s="11" t="s">
        <v>222</v>
      </c>
      <c r="C30" s="11">
        <v>409</v>
      </c>
      <c r="D30" s="13">
        <v>350</v>
      </c>
      <c r="E30" s="13">
        <v>304</v>
      </c>
      <c r="F30" s="13">
        <v>248</v>
      </c>
      <c r="G30" s="12">
        <v>222</v>
      </c>
      <c r="H30" s="13">
        <v>200</v>
      </c>
      <c r="I30" s="13">
        <v>238</v>
      </c>
      <c r="J30" s="11">
        <v>176</v>
      </c>
      <c r="K30" s="11">
        <v>99</v>
      </c>
      <c r="L30" s="11">
        <v>141</v>
      </c>
      <c r="M30" s="11">
        <v>67</v>
      </c>
      <c r="N30" s="11">
        <v>56</v>
      </c>
      <c r="O30" s="44" t="s">
        <v>263</v>
      </c>
      <c r="P30" s="20"/>
      <c r="S30" s="9" t="s">
        <v>91</v>
      </c>
      <c r="T30" s="56" t="s">
        <v>260</v>
      </c>
      <c r="U30" s="56">
        <v>-36286841</v>
      </c>
      <c r="V30" s="57">
        <v>-28721635</v>
      </c>
      <c r="W30" s="57">
        <v>-19957951</v>
      </c>
      <c r="X30" s="57">
        <v>-4581057</v>
      </c>
      <c r="Y30" s="58">
        <v>-11154747</v>
      </c>
      <c r="Z30" s="57">
        <v>-6279069</v>
      </c>
      <c r="AA30" s="57">
        <v>-9256829</v>
      </c>
      <c r="AB30" s="56">
        <v>-506149</v>
      </c>
      <c r="AC30" s="56">
        <v>-1351776</v>
      </c>
      <c r="AD30" s="56">
        <v>-4765085</v>
      </c>
      <c r="AE30" s="56">
        <v>-2754322</v>
      </c>
      <c r="AF30" s="56">
        <v>-1405376</v>
      </c>
      <c r="AG30" s="69" t="s">
        <v>263</v>
      </c>
      <c r="AH30" s="70"/>
      <c r="AK30" s="9" t="s">
        <v>91</v>
      </c>
      <c r="AL30" s="56" t="s">
        <v>260</v>
      </c>
      <c r="AM30" s="56">
        <v>80058988</v>
      </c>
      <c r="AN30" s="57">
        <v>76554323</v>
      </c>
      <c r="AO30" s="57">
        <v>69161043</v>
      </c>
      <c r="AP30" s="57">
        <v>43052077</v>
      </c>
      <c r="AQ30" s="58">
        <v>23918559</v>
      </c>
      <c r="AR30" s="57">
        <v>20553989</v>
      </c>
      <c r="AS30" s="57">
        <v>24177895</v>
      </c>
      <c r="AT30" s="56">
        <v>16548536</v>
      </c>
      <c r="AU30" s="56">
        <v>13549693</v>
      </c>
      <c r="AV30" s="56">
        <v>9287255</v>
      </c>
      <c r="AW30" s="56">
        <v>8968714</v>
      </c>
      <c r="AX30" s="56">
        <v>8190870</v>
      </c>
      <c r="AY30" s="76" t="s">
        <v>263</v>
      </c>
      <c r="AZ30" s="70"/>
      <c r="BC30" s="9" t="s">
        <v>91</v>
      </c>
      <c r="BD30" s="56" t="s">
        <v>260</v>
      </c>
      <c r="BE30" s="56">
        <v>11449134</v>
      </c>
      <c r="BF30" s="57">
        <v>9361117</v>
      </c>
      <c r="BG30" s="57">
        <v>6822684</v>
      </c>
      <c r="BH30" s="57">
        <v>4789287</v>
      </c>
      <c r="BI30" s="58">
        <v>3880637</v>
      </c>
      <c r="BJ30" s="57">
        <v>3222820</v>
      </c>
      <c r="BK30" s="57">
        <v>3837226</v>
      </c>
      <c r="BL30" s="56">
        <v>2230384</v>
      </c>
      <c r="BM30" s="56">
        <v>1119927</v>
      </c>
      <c r="BN30" s="56">
        <v>1013675</v>
      </c>
      <c r="BO30" s="56">
        <v>627283</v>
      </c>
      <c r="BP30" s="56" t="s">
        <v>260</v>
      </c>
      <c r="BQ30" s="76" t="s">
        <v>263</v>
      </c>
      <c r="BR30" s="70"/>
    </row>
    <row r="31" spans="1:70" x14ac:dyDescent="0.2">
      <c r="A31" s="6" t="str">
        <f>'Firm list'!B31</f>
        <v>Scan-Plast Latvia</v>
      </c>
      <c r="B31" s="11">
        <v>114</v>
      </c>
      <c r="C31" s="11">
        <v>96</v>
      </c>
      <c r="D31" s="13">
        <v>93</v>
      </c>
      <c r="E31" s="13">
        <v>112</v>
      </c>
      <c r="F31" s="13">
        <v>88</v>
      </c>
      <c r="G31" s="12">
        <v>65</v>
      </c>
      <c r="H31" s="13">
        <v>57</v>
      </c>
      <c r="I31" s="13">
        <v>34</v>
      </c>
      <c r="J31" s="11">
        <v>25</v>
      </c>
      <c r="K31" s="11">
        <v>12</v>
      </c>
      <c r="L31" s="11">
        <v>6</v>
      </c>
      <c r="M31" s="11">
        <v>0</v>
      </c>
      <c r="N31" s="11">
        <v>0</v>
      </c>
      <c r="O31" s="44" t="s">
        <v>263</v>
      </c>
      <c r="P31" s="20"/>
      <c r="S31" s="9" t="s">
        <v>47</v>
      </c>
      <c r="T31" s="56">
        <v>-428126</v>
      </c>
      <c r="U31" s="56">
        <v>-230601</v>
      </c>
      <c r="V31" s="57">
        <v>-409519</v>
      </c>
      <c r="W31" s="57">
        <v>-108831</v>
      </c>
      <c r="X31" s="57">
        <v>-151985</v>
      </c>
      <c r="Y31" s="58">
        <v>-49774</v>
      </c>
      <c r="Z31" s="57" t="s">
        <v>260</v>
      </c>
      <c r="AA31" s="57" t="s">
        <v>260</v>
      </c>
      <c r="AB31" s="56" t="s">
        <v>260</v>
      </c>
      <c r="AC31" s="56">
        <v>-39565</v>
      </c>
      <c r="AD31" s="56">
        <v>-16462</v>
      </c>
      <c r="AE31" s="56" t="s">
        <v>338</v>
      </c>
      <c r="AF31" s="56" t="s">
        <v>339</v>
      </c>
      <c r="AG31" s="71" t="s">
        <v>264</v>
      </c>
      <c r="AH31" s="70"/>
      <c r="AK31" s="9" t="s">
        <v>47</v>
      </c>
      <c r="AL31" s="56">
        <v>12967428</v>
      </c>
      <c r="AM31" s="56">
        <v>11584163</v>
      </c>
      <c r="AN31" s="57">
        <v>12265731</v>
      </c>
      <c r="AO31" s="57">
        <v>16456435</v>
      </c>
      <c r="AP31" s="57">
        <v>12636456</v>
      </c>
      <c r="AQ31" s="58">
        <v>6427336</v>
      </c>
      <c r="AR31" s="57">
        <v>5661379</v>
      </c>
      <c r="AS31" s="57">
        <v>3097029</v>
      </c>
      <c r="AT31" s="56">
        <v>2008675</v>
      </c>
      <c r="AU31" s="56">
        <v>898183</v>
      </c>
      <c r="AV31" s="56">
        <v>272556</v>
      </c>
      <c r="AW31" s="56" t="s">
        <v>338</v>
      </c>
      <c r="AX31" s="56" t="s">
        <v>338</v>
      </c>
      <c r="AY31" s="76" t="s">
        <v>263</v>
      </c>
      <c r="AZ31" s="70"/>
      <c r="BC31" s="9" t="s">
        <v>47</v>
      </c>
      <c r="BD31" s="56">
        <v>3411212</v>
      </c>
      <c r="BE31" s="56">
        <v>2809764</v>
      </c>
      <c r="BF31" s="57">
        <v>2530024</v>
      </c>
      <c r="BG31" s="57">
        <v>2917978</v>
      </c>
      <c r="BH31" s="57">
        <v>2197555</v>
      </c>
      <c r="BI31" s="58">
        <v>1509148</v>
      </c>
      <c r="BJ31" s="57">
        <v>1238382</v>
      </c>
      <c r="BK31" s="57">
        <v>473897</v>
      </c>
      <c r="BL31" s="56">
        <v>182779</v>
      </c>
      <c r="BM31" s="56">
        <v>195454</v>
      </c>
      <c r="BN31" s="56">
        <v>68599</v>
      </c>
      <c r="BO31" s="56" t="s">
        <v>260</v>
      </c>
      <c r="BP31" s="56" t="s">
        <v>260</v>
      </c>
      <c r="BQ31" s="76" t="s">
        <v>263</v>
      </c>
      <c r="BR31" s="70"/>
    </row>
    <row r="32" spans="1:70" x14ac:dyDescent="0.2">
      <c r="A32" s="6" t="str">
        <f>'Firm list'!B32</f>
        <v>texmex</v>
      </c>
      <c r="B32" s="11">
        <v>54</v>
      </c>
      <c r="C32" s="11">
        <v>49</v>
      </c>
      <c r="D32" s="13">
        <v>45</v>
      </c>
      <c r="E32" s="13">
        <v>37</v>
      </c>
      <c r="F32" s="13">
        <v>24</v>
      </c>
      <c r="G32" s="12">
        <v>19</v>
      </c>
      <c r="H32" s="13">
        <v>18</v>
      </c>
      <c r="I32" s="13">
        <v>14</v>
      </c>
      <c r="J32" s="11">
        <v>9</v>
      </c>
      <c r="K32" s="11">
        <v>5</v>
      </c>
      <c r="L32" s="11">
        <v>4</v>
      </c>
      <c r="M32" s="11">
        <v>1</v>
      </c>
      <c r="N32" s="11">
        <v>0</v>
      </c>
      <c r="O32" s="44" t="s">
        <v>263</v>
      </c>
      <c r="P32" s="20"/>
      <c r="S32" s="9" t="s">
        <v>52</v>
      </c>
      <c r="T32" s="56" t="s">
        <v>260</v>
      </c>
      <c r="U32" s="56" t="s">
        <v>260</v>
      </c>
      <c r="V32" s="57" t="s">
        <v>260</v>
      </c>
      <c r="W32" s="57" t="s">
        <v>260</v>
      </c>
      <c r="X32" s="57" t="s">
        <v>260</v>
      </c>
      <c r="Y32" s="58" t="s">
        <v>260</v>
      </c>
      <c r="Z32" s="57" t="s">
        <v>260</v>
      </c>
      <c r="AA32" s="57" t="s">
        <v>260</v>
      </c>
      <c r="AB32" s="56" t="s">
        <v>260</v>
      </c>
      <c r="AC32" s="56" t="s">
        <v>260</v>
      </c>
      <c r="AD32" s="56" t="s">
        <v>260</v>
      </c>
      <c r="AE32" s="56" t="s">
        <v>260</v>
      </c>
      <c r="AF32" s="56" t="s">
        <v>260</v>
      </c>
      <c r="AG32" s="71" t="s">
        <v>264</v>
      </c>
      <c r="AH32" s="70"/>
      <c r="AK32" s="9" t="s">
        <v>52</v>
      </c>
      <c r="AL32" s="56">
        <v>5925696</v>
      </c>
      <c r="AM32" s="56">
        <v>5080492</v>
      </c>
      <c r="AN32" s="57">
        <v>5612526</v>
      </c>
      <c r="AO32" s="57">
        <v>3423393</v>
      </c>
      <c r="AP32" s="57">
        <v>2634776</v>
      </c>
      <c r="AQ32" s="58">
        <v>1301518</v>
      </c>
      <c r="AR32" s="57">
        <v>1262077</v>
      </c>
      <c r="AS32" s="57">
        <v>1187395</v>
      </c>
      <c r="AT32" s="56">
        <v>550111</v>
      </c>
      <c r="AU32" s="56">
        <v>314743</v>
      </c>
      <c r="AV32" s="56">
        <v>486957</v>
      </c>
      <c r="AW32" s="56" t="s">
        <v>338</v>
      </c>
      <c r="AX32" s="56" t="s">
        <v>338</v>
      </c>
      <c r="AY32" s="76" t="s">
        <v>263</v>
      </c>
      <c r="AZ32" s="70"/>
      <c r="BC32" s="9" t="s">
        <v>52</v>
      </c>
      <c r="BD32" s="56" t="s">
        <v>260</v>
      </c>
      <c r="BE32" s="56" t="s">
        <v>260</v>
      </c>
      <c r="BF32" s="57" t="s">
        <v>260</v>
      </c>
      <c r="BG32" s="57" t="s">
        <v>260</v>
      </c>
      <c r="BH32" s="57" t="s">
        <v>260</v>
      </c>
      <c r="BI32" s="58" t="s">
        <v>260</v>
      </c>
      <c r="BJ32" s="57" t="s">
        <v>260</v>
      </c>
      <c r="BK32" s="57" t="s">
        <v>260</v>
      </c>
      <c r="BL32" s="56" t="s">
        <v>260</v>
      </c>
      <c r="BM32" s="56" t="s">
        <v>260</v>
      </c>
      <c r="BN32" s="56" t="s">
        <v>260</v>
      </c>
      <c r="BO32" s="56" t="s">
        <v>260</v>
      </c>
      <c r="BP32" s="56" t="s">
        <v>260</v>
      </c>
      <c r="BQ32" s="71" t="s">
        <v>264</v>
      </c>
      <c r="BR32" s="70"/>
    </row>
    <row r="33" spans="1:70" x14ac:dyDescent="0.2">
      <c r="A33" s="6" t="str">
        <f>'Firm list'!B33</f>
        <v>JELGAVAS TIPOGRĀFIJA</v>
      </c>
      <c r="B33" s="11">
        <v>51</v>
      </c>
      <c r="C33" s="11">
        <v>51</v>
      </c>
      <c r="D33" s="13">
        <v>53</v>
      </c>
      <c r="E33" s="13">
        <v>52</v>
      </c>
      <c r="F33" s="13">
        <v>53</v>
      </c>
      <c r="G33" s="12">
        <v>61</v>
      </c>
      <c r="H33" s="13">
        <v>58</v>
      </c>
      <c r="I33" s="13">
        <v>64</v>
      </c>
      <c r="J33" s="11">
        <v>63</v>
      </c>
      <c r="K33" s="11">
        <v>61</v>
      </c>
      <c r="L33" s="11">
        <v>72</v>
      </c>
      <c r="M33" s="11">
        <v>68</v>
      </c>
      <c r="N33" s="11">
        <v>80</v>
      </c>
      <c r="O33" s="44" t="s">
        <v>263</v>
      </c>
      <c r="P33" s="20"/>
      <c r="S33" s="9" t="s">
        <v>58</v>
      </c>
      <c r="T33" s="56">
        <v>-118912</v>
      </c>
      <c r="U33" s="56">
        <v>-238123</v>
      </c>
      <c r="V33" s="57">
        <v>-118466</v>
      </c>
      <c r="W33" s="57">
        <v>-284027</v>
      </c>
      <c r="X33" s="57">
        <v>-214614</v>
      </c>
      <c r="Y33" s="58">
        <v>-410425</v>
      </c>
      <c r="Z33" s="57">
        <v>-77762</v>
      </c>
      <c r="AA33" s="57">
        <v>-36500</v>
      </c>
      <c r="AB33" s="56">
        <v>-55968</v>
      </c>
      <c r="AC33" s="56">
        <v>-65014</v>
      </c>
      <c r="AD33" s="56">
        <v>-287231</v>
      </c>
      <c r="AE33" s="56">
        <v>-29131</v>
      </c>
      <c r="AF33" s="56" t="s">
        <v>260</v>
      </c>
      <c r="AG33" s="69" t="s">
        <v>263</v>
      </c>
      <c r="AH33" s="70"/>
      <c r="AK33" s="9" t="s">
        <v>58</v>
      </c>
      <c r="AL33" s="56">
        <v>4409458</v>
      </c>
      <c r="AM33" s="56">
        <v>4123429</v>
      </c>
      <c r="AN33" s="57">
        <v>4663818</v>
      </c>
      <c r="AO33" s="57">
        <v>2762710</v>
      </c>
      <c r="AP33" s="57">
        <v>3060795</v>
      </c>
      <c r="AQ33" s="58">
        <v>3688854</v>
      </c>
      <c r="AR33" s="57">
        <v>3215495</v>
      </c>
      <c r="AS33" s="57">
        <v>2737013</v>
      </c>
      <c r="AT33" s="56">
        <v>3273100</v>
      </c>
      <c r="AU33" s="56">
        <v>2153098</v>
      </c>
      <c r="AV33" s="56">
        <v>3363649</v>
      </c>
      <c r="AW33" s="56">
        <v>2832111</v>
      </c>
      <c r="AX33" s="56" t="s">
        <v>338</v>
      </c>
      <c r="AY33" s="76" t="s">
        <v>263</v>
      </c>
      <c r="AZ33" s="70"/>
      <c r="BC33" s="9" t="s">
        <v>58</v>
      </c>
      <c r="BD33" s="56">
        <v>1342013</v>
      </c>
      <c r="BE33" s="56">
        <v>1058653</v>
      </c>
      <c r="BF33" s="57">
        <v>1017789</v>
      </c>
      <c r="BG33" s="57">
        <v>943043</v>
      </c>
      <c r="BH33" s="57">
        <v>913335</v>
      </c>
      <c r="BI33" s="58">
        <v>957362</v>
      </c>
      <c r="BJ33" s="57">
        <v>942729</v>
      </c>
      <c r="BK33" s="57">
        <v>899923</v>
      </c>
      <c r="BL33" s="56" t="s">
        <v>260</v>
      </c>
      <c r="BM33" s="56" t="s">
        <v>260</v>
      </c>
      <c r="BN33" s="56">
        <v>880793</v>
      </c>
      <c r="BO33" s="56">
        <v>828720</v>
      </c>
      <c r="BP33" s="56" t="s">
        <v>260</v>
      </c>
      <c r="BQ33" s="76" t="s">
        <v>263</v>
      </c>
      <c r="BR33" s="70"/>
    </row>
    <row r="34" spans="1:70" x14ac:dyDescent="0.2">
      <c r="A34" s="6" t="str">
        <f>'Firm list'!B34</f>
        <v>ICS Property</v>
      </c>
      <c r="B34" s="11" t="s">
        <v>222</v>
      </c>
      <c r="C34" s="11" t="s">
        <v>222</v>
      </c>
      <c r="D34" s="13" t="s">
        <v>222</v>
      </c>
      <c r="E34" s="13" t="s">
        <v>222</v>
      </c>
      <c r="F34" s="13" t="s">
        <v>222</v>
      </c>
      <c r="G34" s="12" t="s">
        <v>222</v>
      </c>
      <c r="H34" s="13" t="s">
        <v>222</v>
      </c>
      <c r="I34" s="13" t="s">
        <v>222</v>
      </c>
      <c r="J34" s="11" t="s">
        <v>222</v>
      </c>
      <c r="K34" s="11" t="s">
        <v>222</v>
      </c>
      <c r="L34" s="11" t="s">
        <v>222</v>
      </c>
      <c r="M34" s="11" t="s">
        <v>222</v>
      </c>
      <c r="N34" s="11" t="s">
        <v>222</v>
      </c>
      <c r="O34" s="43" t="s">
        <v>264</v>
      </c>
      <c r="P34" s="20"/>
      <c r="S34" s="9" t="s">
        <v>26</v>
      </c>
      <c r="T34" s="56" t="s">
        <v>260</v>
      </c>
      <c r="U34" s="56" t="s">
        <v>260</v>
      </c>
      <c r="V34" s="57" t="s">
        <v>260</v>
      </c>
      <c r="W34" s="57" t="s">
        <v>260</v>
      </c>
      <c r="X34" s="57" t="s">
        <v>260</v>
      </c>
      <c r="Y34" s="58" t="s">
        <v>260</v>
      </c>
      <c r="Z34" s="57" t="s">
        <v>260</v>
      </c>
      <c r="AA34" s="57" t="s">
        <v>260</v>
      </c>
      <c r="AB34" s="56" t="s">
        <v>260</v>
      </c>
      <c r="AC34" s="56" t="s">
        <v>260</v>
      </c>
      <c r="AD34" s="56" t="s">
        <v>260</v>
      </c>
      <c r="AE34" s="56" t="s">
        <v>260</v>
      </c>
      <c r="AF34" s="56" t="s">
        <v>260</v>
      </c>
      <c r="AG34" s="72" t="s">
        <v>337</v>
      </c>
      <c r="AH34" s="70"/>
      <c r="AK34" s="9" t="s">
        <v>26</v>
      </c>
      <c r="AL34" s="56" t="s">
        <v>260</v>
      </c>
      <c r="AM34" s="56" t="s">
        <v>260</v>
      </c>
      <c r="AN34" s="57" t="s">
        <v>260</v>
      </c>
      <c r="AO34" s="57" t="s">
        <v>260</v>
      </c>
      <c r="AP34" s="57" t="s">
        <v>260</v>
      </c>
      <c r="AQ34" s="58" t="s">
        <v>260</v>
      </c>
      <c r="AR34" s="57" t="s">
        <v>260</v>
      </c>
      <c r="AS34" s="57" t="s">
        <v>260</v>
      </c>
      <c r="AT34" s="56" t="s">
        <v>260</v>
      </c>
      <c r="AU34" s="56" t="s">
        <v>260</v>
      </c>
      <c r="AV34" s="56" t="s">
        <v>260</v>
      </c>
      <c r="AW34" s="56" t="s">
        <v>260</v>
      </c>
      <c r="AX34" s="56" t="s">
        <v>260</v>
      </c>
      <c r="AY34" s="72" t="s">
        <v>337</v>
      </c>
      <c r="AZ34" s="70"/>
      <c r="BC34" s="9" t="s">
        <v>26</v>
      </c>
      <c r="BD34" s="56" t="s">
        <v>260</v>
      </c>
      <c r="BE34" s="56" t="s">
        <v>260</v>
      </c>
      <c r="BF34" s="57" t="s">
        <v>260</v>
      </c>
      <c r="BG34" s="57" t="s">
        <v>260</v>
      </c>
      <c r="BH34" s="57" t="s">
        <v>260</v>
      </c>
      <c r="BI34" s="58" t="s">
        <v>260</v>
      </c>
      <c r="BJ34" s="57" t="s">
        <v>260</v>
      </c>
      <c r="BK34" s="57" t="s">
        <v>260</v>
      </c>
      <c r="BL34" s="56" t="s">
        <v>260</v>
      </c>
      <c r="BM34" s="56" t="s">
        <v>260</v>
      </c>
      <c r="BN34" s="56" t="s">
        <v>260</v>
      </c>
      <c r="BO34" s="56" t="s">
        <v>260</v>
      </c>
      <c r="BP34" s="56" t="s">
        <v>260</v>
      </c>
      <c r="BQ34" s="72" t="s">
        <v>337</v>
      </c>
      <c r="BR34" s="70"/>
    </row>
    <row r="35" spans="1:70" x14ac:dyDescent="0.2">
      <c r="A35" s="6" t="str">
        <f>'Firm list'!B35</f>
        <v>VIZULO</v>
      </c>
      <c r="B35" s="11">
        <v>197</v>
      </c>
      <c r="C35" s="11">
        <v>194</v>
      </c>
      <c r="D35" s="13">
        <v>197</v>
      </c>
      <c r="E35" s="13">
        <v>198</v>
      </c>
      <c r="F35" s="13">
        <v>177</v>
      </c>
      <c r="G35" s="12">
        <v>156</v>
      </c>
      <c r="H35" s="13">
        <v>163</v>
      </c>
      <c r="I35" s="13">
        <v>144</v>
      </c>
      <c r="J35" s="11">
        <v>129</v>
      </c>
      <c r="K35" s="11">
        <v>123</v>
      </c>
      <c r="L35" s="11">
        <v>124</v>
      </c>
      <c r="M35" s="11">
        <v>111</v>
      </c>
      <c r="N35" s="11">
        <v>112</v>
      </c>
      <c r="O35" s="44" t="s">
        <v>263</v>
      </c>
      <c r="P35" s="20"/>
      <c r="S35" s="9" t="s">
        <v>69</v>
      </c>
      <c r="T35" s="56">
        <v>-2258310</v>
      </c>
      <c r="U35" s="56">
        <v>-1097993</v>
      </c>
      <c r="V35" s="57">
        <v>-866605</v>
      </c>
      <c r="W35" s="57">
        <v>-156125</v>
      </c>
      <c r="X35" s="57">
        <v>-1205432</v>
      </c>
      <c r="Y35" s="58">
        <v>-2311256</v>
      </c>
      <c r="Z35" s="57">
        <v>-796205</v>
      </c>
      <c r="AA35" s="57">
        <v>-384671</v>
      </c>
      <c r="AB35" s="56">
        <v>-252518</v>
      </c>
      <c r="AC35" s="56">
        <v>-135721</v>
      </c>
      <c r="AD35" s="56">
        <v>-453463</v>
      </c>
      <c r="AE35" s="56">
        <v>-2455264</v>
      </c>
      <c r="AF35" s="56">
        <v>-283456</v>
      </c>
      <c r="AG35" s="69" t="s">
        <v>263</v>
      </c>
      <c r="AH35" s="70"/>
      <c r="AK35" s="9" t="s">
        <v>69</v>
      </c>
      <c r="AL35" s="56">
        <v>18314322</v>
      </c>
      <c r="AM35" s="56">
        <v>17134906</v>
      </c>
      <c r="AN35" s="57">
        <v>17704991</v>
      </c>
      <c r="AO35" s="57">
        <v>17827403</v>
      </c>
      <c r="AP35" s="57">
        <v>14017593</v>
      </c>
      <c r="AQ35" s="58">
        <v>10569009</v>
      </c>
      <c r="AR35" s="57">
        <v>11659953</v>
      </c>
      <c r="AS35" s="57">
        <v>11444636</v>
      </c>
      <c r="AT35" s="56">
        <v>9814691</v>
      </c>
      <c r="AU35" s="56">
        <v>9655161</v>
      </c>
      <c r="AV35" s="56">
        <v>8664574</v>
      </c>
      <c r="AW35" s="56">
        <v>7575491</v>
      </c>
      <c r="AX35" s="56">
        <v>5637899</v>
      </c>
      <c r="AY35" s="76" t="s">
        <v>263</v>
      </c>
      <c r="AZ35" s="70"/>
      <c r="BC35" s="9" t="s">
        <v>69</v>
      </c>
      <c r="BD35" s="56">
        <v>5101861</v>
      </c>
      <c r="BE35" s="56">
        <v>4968657</v>
      </c>
      <c r="BF35" s="57">
        <v>4636388</v>
      </c>
      <c r="BG35" s="57">
        <v>4240298</v>
      </c>
      <c r="BH35" s="57">
        <v>3729508</v>
      </c>
      <c r="BI35" s="58">
        <v>2840370</v>
      </c>
      <c r="BJ35" s="57">
        <v>3351050</v>
      </c>
      <c r="BK35" s="57">
        <v>2489696</v>
      </c>
      <c r="BL35" s="56">
        <v>2440655</v>
      </c>
      <c r="BM35" s="56">
        <v>2276246</v>
      </c>
      <c r="BN35" s="56">
        <v>2177535</v>
      </c>
      <c r="BO35" s="56">
        <v>1821347</v>
      </c>
      <c r="BP35" s="56" t="s">
        <v>260</v>
      </c>
      <c r="BQ35" s="76" t="s">
        <v>263</v>
      </c>
      <c r="BR35" s="70"/>
    </row>
    <row r="36" spans="1:70" x14ac:dyDescent="0.2">
      <c r="A36" s="6">
        <f>'Firm list'!B36</f>
        <v>0</v>
      </c>
      <c r="B36" s="11">
        <v>2</v>
      </c>
      <c r="C36" s="11">
        <v>2</v>
      </c>
      <c r="D36" s="13">
        <v>2</v>
      </c>
      <c r="E36" s="13">
        <v>2</v>
      </c>
      <c r="F36" s="13">
        <v>2</v>
      </c>
      <c r="G36" s="12">
        <v>2</v>
      </c>
      <c r="H36" s="13">
        <v>2</v>
      </c>
      <c r="I36" s="13" t="s">
        <v>222</v>
      </c>
      <c r="J36" s="11" t="s">
        <v>222</v>
      </c>
      <c r="K36" s="11" t="s">
        <v>222</v>
      </c>
      <c r="L36" s="11" t="s">
        <v>222</v>
      </c>
      <c r="M36" s="11" t="s">
        <v>222</v>
      </c>
      <c r="N36" s="11" t="s">
        <v>222</v>
      </c>
      <c r="O36" s="43" t="s">
        <v>264</v>
      </c>
      <c r="P36" s="20"/>
      <c r="S36" s="9" t="s">
        <v>39</v>
      </c>
      <c r="T36" s="56" t="s">
        <v>260</v>
      </c>
      <c r="U36" s="56" t="s">
        <v>260</v>
      </c>
      <c r="V36" s="57" t="s">
        <v>260</v>
      </c>
      <c r="W36" s="57" t="s">
        <v>260</v>
      </c>
      <c r="X36" s="57" t="s">
        <v>260</v>
      </c>
      <c r="Y36" s="58" t="s">
        <v>260</v>
      </c>
      <c r="Z36" s="57" t="s">
        <v>260</v>
      </c>
      <c r="AA36" s="57" t="s">
        <v>340</v>
      </c>
      <c r="AB36" s="56" t="s">
        <v>340</v>
      </c>
      <c r="AC36" s="56" t="s">
        <v>340</v>
      </c>
      <c r="AD36" s="56" t="s">
        <v>340</v>
      </c>
      <c r="AE36" s="56" t="s">
        <v>340</v>
      </c>
      <c r="AF36" s="56" t="s">
        <v>340</v>
      </c>
      <c r="AG36" s="72" t="s">
        <v>337</v>
      </c>
      <c r="AH36" s="70"/>
      <c r="AK36" s="9" t="s">
        <v>39</v>
      </c>
      <c r="AL36" s="56">
        <v>176134</v>
      </c>
      <c r="AM36" s="56">
        <v>176134</v>
      </c>
      <c r="AN36" s="57" t="s">
        <v>338</v>
      </c>
      <c r="AO36" s="57" t="s">
        <v>343</v>
      </c>
      <c r="AP36" s="57" t="s">
        <v>338</v>
      </c>
      <c r="AQ36" s="58" t="s">
        <v>338</v>
      </c>
      <c r="AR36" s="57" t="s">
        <v>338</v>
      </c>
      <c r="AS36" s="57" t="s">
        <v>340</v>
      </c>
      <c r="AT36" s="56" t="s">
        <v>340</v>
      </c>
      <c r="AU36" s="56" t="s">
        <v>340</v>
      </c>
      <c r="AV36" s="56" t="s">
        <v>340</v>
      </c>
      <c r="AW36" s="56" t="s">
        <v>340</v>
      </c>
      <c r="AX36" s="56" t="s">
        <v>340</v>
      </c>
      <c r="AY36" s="72" t="s">
        <v>337</v>
      </c>
      <c r="AZ36" s="70"/>
      <c r="BC36" s="9" t="s">
        <v>39</v>
      </c>
      <c r="BD36" s="56" t="s">
        <v>260</v>
      </c>
      <c r="BE36" s="56" t="s">
        <v>260</v>
      </c>
      <c r="BF36" s="57" t="s">
        <v>260</v>
      </c>
      <c r="BG36" s="57" t="s">
        <v>260</v>
      </c>
      <c r="BH36" s="57" t="s">
        <v>260</v>
      </c>
      <c r="BI36" s="58" t="s">
        <v>260</v>
      </c>
      <c r="BJ36" s="57" t="s">
        <v>260</v>
      </c>
      <c r="BK36" s="57" t="s">
        <v>340</v>
      </c>
      <c r="BL36" s="56" t="s">
        <v>340</v>
      </c>
      <c r="BM36" s="56" t="s">
        <v>340</v>
      </c>
      <c r="BN36" s="56" t="s">
        <v>340</v>
      </c>
      <c r="BO36" s="56" t="s">
        <v>340</v>
      </c>
      <c r="BP36" s="56" t="s">
        <v>340</v>
      </c>
      <c r="BQ36" s="72" t="s">
        <v>337</v>
      </c>
      <c r="BR36" s="70"/>
    </row>
    <row r="37" spans="1:70" ht="16" thickBot="1" x14ac:dyDescent="0.25">
      <c r="A37" s="7">
        <f>'Firm list'!B37</f>
        <v>0</v>
      </c>
      <c r="B37" s="11" t="s">
        <v>222</v>
      </c>
      <c r="C37" s="13">
        <v>154</v>
      </c>
      <c r="D37" s="13">
        <v>169</v>
      </c>
      <c r="E37" s="13">
        <v>117</v>
      </c>
      <c r="F37" s="12">
        <v>98</v>
      </c>
      <c r="G37" s="13">
        <v>114</v>
      </c>
      <c r="H37" s="13">
        <v>99</v>
      </c>
      <c r="I37" s="11">
        <v>73</v>
      </c>
      <c r="J37" s="11">
        <v>54</v>
      </c>
      <c r="K37" s="11">
        <v>45</v>
      </c>
      <c r="L37" s="11">
        <v>44</v>
      </c>
      <c r="M37" s="11">
        <v>20</v>
      </c>
      <c r="N37" s="11">
        <v>10</v>
      </c>
      <c r="O37" s="44" t="s">
        <v>263</v>
      </c>
      <c r="P37" s="20"/>
      <c r="S37" s="10" t="s">
        <v>63</v>
      </c>
      <c r="T37" s="56" t="s">
        <v>260</v>
      </c>
      <c r="U37" s="57">
        <v>-2245446</v>
      </c>
      <c r="V37" s="57">
        <v>-2114029</v>
      </c>
      <c r="W37" s="57">
        <v>-522808</v>
      </c>
      <c r="X37" s="58">
        <v>-603234</v>
      </c>
      <c r="Y37" s="57">
        <v>-889401</v>
      </c>
      <c r="Z37" s="57">
        <v>-931719</v>
      </c>
      <c r="AA37" s="56">
        <v>-505705</v>
      </c>
      <c r="AB37" s="56">
        <v>-142797</v>
      </c>
      <c r="AC37" s="56">
        <v>-1036000</v>
      </c>
      <c r="AD37" s="56">
        <v>-398430</v>
      </c>
      <c r="AE37" s="56">
        <v>-567928</v>
      </c>
      <c r="AF37" s="56">
        <v>-159830</v>
      </c>
      <c r="AG37" s="69" t="s">
        <v>263</v>
      </c>
      <c r="AH37" s="70"/>
      <c r="AK37" s="10" t="s">
        <v>63</v>
      </c>
      <c r="AL37" s="56" t="s">
        <v>260</v>
      </c>
      <c r="AM37" s="57">
        <v>14708042</v>
      </c>
      <c r="AN37" s="57">
        <v>15742864</v>
      </c>
      <c r="AO37" s="57">
        <v>10853349</v>
      </c>
      <c r="AP37" s="58">
        <v>8891546</v>
      </c>
      <c r="AQ37" s="57">
        <v>12897734</v>
      </c>
      <c r="AR37" s="57">
        <v>10012999</v>
      </c>
      <c r="AS37" s="56">
        <v>8062834</v>
      </c>
      <c r="AT37" s="56">
        <v>5503911</v>
      </c>
      <c r="AU37" s="56">
        <v>2556235</v>
      </c>
      <c r="AV37" s="56">
        <v>6069438</v>
      </c>
      <c r="AW37" s="56">
        <v>2860662</v>
      </c>
      <c r="AX37" s="56">
        <v>199481</v>
      </c>
      <c r="AY37" s="76" t="s">
        <v>263</v>
      </c>
      <c r="AZ37" s="70"/>
      <c r="BC37" s="10" t="s">
        <v>63</v>
      </c>
      <c r="BD37" s="56" t="s">
        <v>260</v>
      </c>
      <c r="BE37" s="57">
        <v>2780903</v>
      </c>
      <c r="BF37" s="57">
        <v>2453338</v>
      </c>
      <c r="BG37" s="57">
        <v>1842952</v>
      </c>
      <c r="BH37" s="58">
        <v>1454460</v>
      </c>
      <c r="BI37" s="57">
        <v>1612047</v>
      </c>
      <c r="BJ37" s="57">
        <v>1530187</v>
      </c>
      <c r="BK37" s="56">
        <v>1120928</v>
      </c>
      <c r="BL37" s="56">
        <v>659831</v>
      </c>
      <c r="BM37" s="56">
        <v>413344</v>
      </c>
      <c r="BN37" s="56">
        <v>173955</v>
      </c>
      <c r="BO37" s="56">
        <v>61985</v>
      </c>
      <c r="BP37" s="56" t="s">
        <v>260</v>
      </c>
      <c r="BQ37" s="76" t="s">
        <v>263</v>
      </c>
      <c r="BR37" s="70"/>
    </row>
    <row r="38" spans="1:70" x14ac:dyDescent="0.2"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</row>
    <row r="39" spans="1:70" x14ac:dyDescent="0.2">
      <c r="N39" s="28" t="s">
        <v>273</v>
      </c>
      <c r="O39" s="29">
        <f>COUNTIF(O4:O37,"yes")</f>
        <v>24</v>
      </c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27" t="s">
        <v>274</v>
      </c>
      <c r="AG39" s="30">
        <v>13</v>
      </c>
      <c r="AH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27" t="s">
        <v>344</v>
      </c>
      <c r="AY39" s="30">
        <v>24</v>
      </c>
      <c r="AZ39" s="50"/>
    </row>
    <row r="40" spans="1:70" ht="16" thickBot="1" x14ac:dyDescent="0.25"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</row>
    <row r="41" spans="1:70" ht="16" thickBot="1" x14ac:dyDescent="0.25">
      <c r="A41" t="s">
        <v>295</v>
      </c>
      <c r="B41" s="2">
        <v>2025</v>
      </c>
      <c r="C41" s="3">
        <v>2024</v>
      </c>
      <c r="D41" s="3">
        <f>C41-1</f>
        <v>2023</v>
      </c>
      <c r="E41" s="3">
        <f t="shared" ref="E41:N41" si="1">D41-1</f>
        <v>2022</v>
      </c>
      <c r="F41" s="3">
        <f t="shared" si="1"/>
        <v>2021</v>
      </c>
      <c r="G41" s="3">
        <f t="shared" si="1"/>
        <v>2020</v>
      </c>
      <c r="H41" s="3">
        <f t="shared" si="1"/>
        <v>2019</v>
      </c>
      <c r="I41" s="3">
        <f t="shared" si="1"/>
        <v>2018</v>
      </c>
      <c r="J41" s="3">
        <f t="shared" si="1"/>
        <v>2017</v>
      </c>
      <c r="K41" s="3">
        <f t="shared" si="1"/>
        <v>2016</v>
      </c>
      <c r="L41" s="3">
        <f t="shared" si="1"/>
        <v>2015</v>
      </c>
      <c r="M41" s="3">
        <f t="shared" si="1"/>
        <v>2014</v>
      </c>
      <c r="N41" s="3">
        <f t="shared" si="1"/>
        <v>2013</v>
      </c>
      <c r="O41" s="24" t="s">
        <v>262</v>
      </c>
      <c r="P41" s="24" t="s">
        <v>224</v>
      </c>
      <c r="S41" s="50"/>
      <c r="T41" s="64">
        <v>2025</v>
      </c>
      <c r="U41" s="65">
        <v>2024</v>
      </c>
      <c r="V41" s="65">
        <v>2023</v>
      </c>
      <c r="W41" s="65">
        <v>2022</v>
      </c>
      <c r="X41" s="65">
        <v>2021</v>
      </c>
      <c r="Y41" s="65">
        <v>2020</v>
      </c>
      <c r="Z41" s="65">
        <v>2019</v>
      </c>
      <c r="AA41" s="65">
        <v>2018</v>
      </c>
      <c r="AB41" s="65">
        <v>2017</v>
      </c>
      <c r="AC41" s="65">
        <v>2016</v>
      </c>
      <c r="AD41" s="65">
        <v>2015</v>
      </c>
      <c r="AE41" s="65">
        <v>2014</v>
      </c>
      <c r="AF41" s="66">
        <v>2013</v>
      </c>
      <c r="AG41" s="67"/>
      <c r="AH41" s="68"/>
      <c r="AK41" s="50"/>
      <c r="AL41" s="64">
        <v>2025</v>
      </c>
      <c r="AM41" s="65">
        <v>2024</v>
      </c>
      <c r="AN41" s="65">
        <v>2023</v>
      </c>
      <c r="AO41" s="65">
        <v>2022</v>
      </c>
      <c r="AP41" s="65">
        <v>2021</v>
      </c>
      <c r="AQ41" s="65">
        <v>2020</v>
      </c>
      <c r="AR41" s="65">
        <v>2019</v>
      </c>
      <c r="AS41" s="65">
        <v>2018</v>
      </c>
      <c r="AT41" s="65">
        <v>2017</v>
      </c>
      <c r="AU41" s="65">
        <v>2016</v>
      </c>
      <c r="AV41" s="65">
        <v>2015</v>
      </c>
      <c r="AW41" s="65">
        <v>2014</v>
      </c>
      <c r="AX41" s="66">
        <v>2013</v>
      </c>
      <c r="AY41" s="67"/>
      <c r="AZ41" s="68"/>
    </row>
    <row r="42" spans="1:70" x14ac:dyDescent="0.2">
      <c r="A42" s="5" t="s">
        <v>297</v>
      </c>
      <c r="B42" s="11"/>
      <c r="C42" s="11"/>
      <c r="D42" s="11"/>
      <c r="E42" s="11"/>
      <c r="F42" s="11"/>
      <c r="G42" s="11"/>
      <c r="H42" s="13">
        <v>165</v>
      </c>
      <c r="I42" s="13">
        <v>189</v>
      </c>
      <c r="J42" s="13">
        <v>191</v>
      </c>
      <c r="K42" s="12">
        <v>168</v>
      </c>
      <c r="L42" s="13">
        <v>200</v>
      </c>
      <c r="M42" s="13">
        <v>226</v>
      </c>
      <c r="N42" s="11"/>
      <c r="O42" s="23"/>
      <c r="P42" s="23"/>
      <c r="S42" s="8" t="s">
        <v>297</v>
      </c>
      <c r="T42" s="56"/>
      <c r="U42" s="56"/>
      <c r="V42" s="56"/>
      <c r="W42" s="56"/>
      <c r="X42" s="56"/>
      <c r="Y42" s="56"/>
      <c r="Z42" s="57">
        <v>50808</v>
      </c>
      <c r="AA42" s="57">
        <v>89507</v>
      </c>
      <c r="AB42" s="57">
        <v>117481</v>
      </c>
      <c r="AC42" s="58">
        <v>117407</v>
      </c>
      <c r="AD42" s="57">
        <v>61946</v>
      </c>
      <c r="AE42" s="57">
        <v>271472</v>
      </c>
      <c r="AF42" s="56"/>
      <c r="AG42" s="69"/>
      <c r="AH42" s="70"/>
      <c r="AK42" s="8" t="s">
        <v>297</v>
      </c>
      <c r="AL42" s="56"/>
      <c r="AM42" s="56"/>
      <c r="AN42" s="56"/>
      <c r="AO42" s="56"/>
      <c r="AP42" s="56"/>
      <c r="AQ42" s="56"/>
      <c r="AR42" s="57">
        <v>11643196</v>
      </c>
      <c r="AS42" s="57">
        <v>8351746</v>
      </c>
      <c r="AT42" s="57">
        <v>8995022</v>
      </c>
      <c r="AU42" s="58">
        <v>7786052</v>
      </c>
      <c r="AV42" s="57">
        <v>7353872</v>
      </c>
      <c r="AW42" s="57">
        <v>9179681</v>
      </c>
      <c r="AX42" s="56"/>
      <c r="AY42" s="69"/>
      <c r="AZ42" s="70"/>
    </row>
    <row r="43" spans="1:70" x14ac:dyDescent="0.2">
      <c r="A43" s="47" t="s">
        <v>296</v>
      </c>
      <c r="B43" s="11"/>
      <c r="C43" s="11"/>
      <c r="D43" s="11"/>
      <c r="E43" s="11"/>
      <c r="F43" s="11"/>
      <c r="G43" s="11"/>
      <c r="H43" s="13">
        <v>43</v>
      </c>
      <c r="I43" s="13">
        <v>49</v>
      </c>
      <c r="J43" s="13">
        <v>49</v>
      </c>
      <c r="K43" s="12">
        <v>46</v>
      </c>
      <c r="L43" s="13">
        <v>37</v>
      </c>
      <c r="M43" s="13">
        <v>34</v>
      </c>
      <c r="N43" s="11"/>
      <c r="O43" s="20"/>
      <c r="P43" s="20"/>
      <c r="S43" s="9"/>
      <c r="T43" s="56"/>
      <c r="U43" s="56"/>
      <c r="V43" s="56"/>
      <c r="W43" s="56"/>
      <c r="X43" s="56"/>
      <c r="Y43" s="56"/>
      <c r="Z43" s="57"/>
      <c r="AA43" s="57"/>
      <c r="AB43" s="57"/>
      <c r="AC43" s="58"/>
      <c r="AD43" s="57"/>
      <c r="AE43" s="57"/>
      <c r="AF43" s="56"/>
      <c r="AG43" s="69"/>
      <c r="AH43" s="70"/>
      <c r="AK43" s="52" t="s">
        <v>296</v>
      </c>
      <c r="AL43" s="56"/>
      <c r="AM43" s="56"/>
      <c r="AN43" s="56"/>
      <c r="AO43" s="56"/>
      <c r="AP43" s="56"/>
      <c r="AQ43" s="56"/>
      <c r="AR43" s="57">
        <v>2369885</v>
      </c>
      <c r="AS43" s="57">
        <v>2512476</v>
      </c>
      <c r="AT43" s="57">
        <v>3023378</v>
      </c>
      <c r="AU43" s="58">
        <v>2632440</v>
      </c>
      <c r="AV43" s="57">
        <v>1810346</v>
      </c>
      <c r="AW43" s="57">
        <v>1271659</v>
      </c>
      <c r="AX43" s="56"/>
      <c r="AY43" s="69"/>
      <c r="AZ43" s="70"/>
    </row>
    <row r="44" spans="1:70" x14ac:dyDescent="0.2">
      <c r="A44" s="6"/>
      <c r="B44" s="11"/>
      <c r="C44" s="11"/>
      <c r="D44" s="11"/>
      <c r="E44" s="11"/>
      <c r="F44" s="11"/>
      <c r="G44" s="11"/>
      <c r="H44" s="13"/>
      <c r="I44" s="13"/>
      <c r="J44" s="13"/>
      <c r="K44" s="12"/>
      <c r="L44" s="13"/>
      <c r="M44" s="13"/>
      <c r="N44" s="11"/>
      <c r="O44" s="21"/>
      <c r="P44" s="20"/>
      <c r="S44" s="9"/>
      <c r="T44" s="56"/>
      <c r="U44" s="56"/>
      <c r="V44" s="56"/>
      <c r="W44" s="56"/>
      <c r="X44" s="56"/>
      <c r="Y44" s="56"/>
      <c r="Z44" s="57"/>
      <c r="AA44" s="57"/>
      <c r="AB44" s="57"/>
      <c r="AC44" s="58"/>
      <c r="AD44" s="57"/>
      <c r="AE44" s="57"/>
      <c r="AF44" s="56"/>
      <c r="AG44" s="73"/>
      <c r="AH44" s="70"/>
      <c r="AK44" s="74" t="s">
        <v>327</v>
      </c>
      <c r="AL44" s="56"/>
      <c r="AM44" s="56"/>
      <c r="AN44" s="56"/>
      <c r="AO44" s="56"/>
      <c r="AP44" s="56"/>
      <c r="AQ44" s="56"/>
      <c r="AR44" s="57"/>
      <c r="AS44" s="57"/>
      <c r="AT44" s="57"/>
      <c r="AU44" s="58"/>
      <c r="AV44" s="57"/>
      <c r="AW44" s="57"/>
      <c r="AX44" s="56"/>
      <c r="AY44" s="73"/>
      <c r="AZ44" s="70"/>
    </row>
    <row r="45" spans="1:70" x14ac:dyDescent="0.2">
      <c r="A45" s="6" t="s">
        <v>298</v>
      </c>
      <c r="B45" s="11"/>
      <c r="C45" s="11"/>
      <c r="D45" s="11"/>
      <c r="E45" s="11"/>
      <c r="F45" s="11"/>
      <c r="G45" s="11"/>
      <c r="H45" s="13">
        <v>276</v>
      </c>
      <c r="I45" s="13">
        <v>274</v>
      </c>
      <c r="J45" s="13">
        <v>252</v>
      </c>
      <c r="K45" s="12">
        <v>264</v>
      </c>
      <c r="L45" s="13">
        <v>269</v>
      </c>
      <c r="M45" s="13">
        <v>249</v>
      </c>
      <c r="N45" s="11"/>
      <c r="O45" s="20"/>
      <c r="P45" s="20"/>
      <c r="S45" s="9" t="s">
        <v>298</v>
      </c>
      <c r="T45" s="56"/>
      <c r="U45" s="56"/>
      <c r="V45" s="56"/>
      <c r="W45" s="56"/>
      <c r="X45" s="56"/>
      <c r="Y45" s="56"/>
      <c r="Z45" s="57">
        <v>-795996</v>
      </c>
      <c r="AA45" s="57">
        <v>-1859065</v>
      </c>
      <c r="AB45" s="57">
        <v>-4392493</v>
      </c>
      <c r="AC45" s="58">
        <v>-1839087</v>
      </c>
      <c r="AD45" s="57">
        <v>-1418863</v>
      </c>
      <c r="AE45" s="57">
        <v>-5693692</v>
      </c>
      <c r="AF45" s="56"/>
      <c r="AG45" s="69"/>
      <c r="AH45" s="70"/>
      <c r="AK45" s="9" t="s">
        <v>298</v>
      </c>
      <c r="AL45" s="56"/>
      <c r="AM45" s="56"/>
      <c r="AN45" s="56"/>
      <c r="AO45" s="56"/>
      <c r="AP45" s="56"/>
      <c r="AQ45" s="56"/>
      <c r="AR45" s="57">
        <v>33737121</v>
      </c>
      <c r="AS45" s="57">
        <v>28720476</v>
      </c>
      <c r="AT45" s="57">
        <v>26185754</v>
      </c>
      <c r="AU45" s="58">
        <v>25033375</v>
      </c>
      <c r="AV45" s="57">
        <v>23948682</v>
      </c>
      <c r="AW45" s="57">
        <v>21643930</v>
      </c>
      <c r="AX45" s="56"/>
      <c r="AY45" s="69"/>
      <c r="AZ45" s="70"/>
    </row>
    <row r="46" spans="1:70" x14ac:dyDescent="0.2">
      <c r="A46" s="6" t="s">
        <v>299</v>
      </c>
      <c r="B46" s="11"/>
      <c r="C46" s="11"/>
      <c r="D46" s="11"/>
      <c r="E46" s="11"/>
      <c r="F46" s="11"/>
      <c r="G46" s="11"/>
      <c r="H46" s="13">
        <v>5</v>
      </c>
      <c r="I46" s="13">
        <v>4</v>
      </c>
      <c r="J46" s="13">
        <v>6</v>
      </c>
      <c r="K46" s="12">
        <v>8</v>
      </c>
      <c r="L46" s="13">
        <v>8</v>
      </c>
      <c r="M46" s="13">
        <v>10</v>
      </c>
      <c r="N46" s="11"/>
      <c r="O46" s="20"/>
      <c r="P46" s="20"/>
      <c r="S46" s="9"/>
      <c r="T46" s="56"/>
      <c r="U46" s="56"/>
      <c r="V46" s="56"/>
      <c r="W46" s="56"/>
      <c r="X46" s="56"/>
      <c r="Y46" s="56"/>
      <c r="Z46" s="57"/>
      <c r="AA46" s="57"/>
      <c r="AB46" s="57"/>
      <c r="AC46" s="58"/>
      <c r="AD46" s="57"/>
      <c r="AE46" s="57"/>
      <c r="AF46" s="56"/>
      <c r="AG46" s="69"/>
      <c r="AH46" s="70"/>
      <c r="AK46" s="9"/>
      <c r="AL46" s="56"/>
      <c r="AM46" s="56"/>
      <c r="AN46" s="56"/>
      <c r="AO46" s="56"/>
      <c r="AP46" s="56"/>
      <c r="AQ46" s="56"/>
      <c r="AR46" s="57"/>
      <c r="AS46" s="57"/>
      <c r="AT46" s="57"/>
      <c r="AU46" s="58"/>
      <c r="AV46" s="57"/>
      <c r="AW46" s="57"/>
      <c r="AX46" s="56"/>
      <c r="AY46" s="69"/>
      <c r="AZ46" s="70"/>
    </row>
    <row r="47" spans="1:70" x14ac:dyDescent="0.2">
      <c r="A47" s="6"/>
      <c r="B47" s="11"/>
      <c r="C47" s="11"/>
      <c r="D47" s="11"/>
      <c r="E47" s="11"/>
      <c r="F47" s="11"/>
      <c r="G47" s="11"/>
      <c r="H47" s="13"/>
      <c r="I47" s="15"/>
      <c r="J47" s="13"/>
      <c r="K47" s="12"/>
      <c r="L47" s="13"/>
      <c r="M47" s="13"/>
      <c r="N47" s="11"/>
      <c r="O47" s="21"/>
      <c r="P47" s="20"/>
      <c r="S47" s="9"/>
      <c r="T47" s="56"/>
      <c r="U47" s="56"/>
      <c r="V47" s="56"/>
      <c r="W47" s="56"/>
      <c r="X47" s="56"/>
      <c r="Y47" s="56"/>
      <c r="Z47" s="57"/>
      <c r="AA47" s="57"/>
      <c r="AB47" s="57"/>
      <c r="AC47" s="58"/>
      <c r="AD47" s="57"/>
      <c r="AE47" s="57"/>
      <c r="AF47" s="56"/>
      <c r="AG47" s="73"/>
      <c r="AH47" s="70"/>
      <c r="AK47" s="9"/>
      <c r="AL47" s="56"/>
      <c r="AM47" s="56"/>
      <c r="AN47" s="56"/>
      <c r="AO47" s="56"/>
      <c r="AP47" s="56"/>
      <c r="AQ47" s="56"/>
      <c r="AR47" s="57"/>
      <c r="AS47" s="57"/>
      <c r="AT47" s="57"/>
      <c r="AU47" s="58"/>
      <c r="AV47" s="57"/>
      <c r="AW47" s="57"/>
      <c r="AX47" s="56"/>
      <c r="AY47" s="73"/>
      <c r="AZ47" s="70"/>
    </row>
    <row r="48" spans="1:70" x14ac:dyDescent="0.2">
      <c r="A48" s="6"/>
      <c r="B48" s="11"/>
      <c r="C48" s="11"/>
      <c r="D48" s="11"/>
      <c r="E48" s="11"/>
      <c r="F48" s="11"/>
      <c r="G48" s="11"/>
      <c r="H48" s="13"/>
      <c r="I48" s="13"/>
      <c r="J48" s="13"/>
      <c r="K48" s="12"/>
      <c r="L48" s="13"/>
      <c r="M48" s="13"/>
      <c r="N48" s="11"/>
      <c r="O48" s="21"/>
      <c r="P48" s="20"/>
      <c r="S48" s="9"/>
      <c r="T48" s="56"/>
      <c r="U48" s="56"/>
      <c r="V48" s="56"/>
      <c r="W48" s="56"/>
      <c r="X48" s="56"/>
      <c r="Y48" s="56"/>
      <c r="Z48" s="57"/>
      <c r="AA48" s="57"/>
      <c r="AB48" s="57"/>
      <c r="AC48" s="58"/>
      <c r="AD48" s="57"/>
      <c r="AE48" s="57"/>
      <c r="AF48" s="56"/>
      <c r="AG48" s="73"/>
      <c r="AH48" s="70"/>
      <c r="AK48" s="9"/>
      <c r="AL48" s="56"/>
      <c r="AM48" s="56"/>
      <c r="AN48" s="56"/>
      <c r="AO48" s="56"/>
      <c r="AP48" s="56"/>
      <c r="AQ48" s="56"/>
      <c r="AR48" s="57"/>
      <c r="AS48" s="57"/>
      <c r="AT48" s="57"/>
      <c r="AU48" s="58"/>
      <c r="AV48" s="57"/>
      <c r="AW48" s="57"/>
      <c r="AX48" s="56"/>
      <c r="AY48" s="73"/>
      <c r="AZ48" s="70"/>
    </row>
    <row r="49" spans="1:52" x14ac:dyDescent="0.2">
      <c r="A49" s="6"/>
      <c r="B49" s="11"/>
      <c r="C49" s="11"/>
      <c r="D49" s="11"/>
      <c r="E49" s="11"/>
      <c r="F49" s="11"/>
      <c r="G49" s="11"/>
      <c r="H49" s="13"/>
      <c r="I49" s="13"/>
      <c r="J49" s="13"/>
      <c r="K49" s="12"/>
      <c r="L49" s="13"/>
      <c r="M49" s="13"/>
      <c r="N49" s="11"/>
      <c r="O49" s="20"/>
      <c r="P49" s="25"/>
      <c r="S49" s="9"/>
      <c r="T49" s="56"/>
      <c r="U49" s="56"/>
      <c r="V49" s="56"/>
      <c r="W49" s="56"/>
      <c r="X49" s="56"/>
      <c r="Y49" s="56"/>
      <c r="Z49" s="57"/>
      <c r="AA49" s="57"/>
      <c r="AB49" s="57"/>
      <c r="AC49" s="58"/>
      <c r="AD49" s="57"/>
      <c r="AE49" s="57"/>
      <c r="AF49" s="56"/>
      <c r="AG49" s="69"/>
      <c r="AH49" s="70"/>
      <c r="AK49" s="53" t="s">
        <v>326</v>
      </c>
      <c r="AL49" s="56"/>
      <c r="AM49" s="56"/>
      <c r="AN49" s="56"/>
      <c r="AO49" s="56"/>
      <c r="AP49" s="56"/>
      <c r="AQ49" s="56"/>
      <c r="AR49" s="57"/>
      <c r="AS49" s="57"/>
      <c r="AT49" s="57"/>
      <c r="AU49" s="58"/>
      <c r="AV49" s="57"/>
      <c r="AW49" s="57"/>
      <c r="AX49" s="56"/>
      <c r="AY49" s="69"/>
      <c r="AZ49" s="70"/>
    </row>
    <row r="50" spans="1:52" x14ac:dyDescent="0.2">
      <c r="A50" s="6" t="s">
        <v>300</v>
      </c>
      <c r="B50" s="11"/>
      <c r="C50" s="11"/>
      <c r="D50" s="11"/>
      <c r="E50" s="11"/>
      <c r="F50" s="11"/>
      <c r="G50" s="11"/>
      <c r="H50" s="13">
        <v>13</v>
      </c>
      <c r="I50" s="13">
        <v>10</v>
      </c>
      <c r="J50" s="13">
        <v>11</v>
      </c>
      <c r="K50" s="12">
        <v>14</v>
      </c>
      <c r="L50" s="13">
        <v>11</v>
      </c>
      <c r="M50" s="13">
        <v>7</v>
      </c>
      <c r="N50" s="11"/>
      <c r="O50" s="20"/>
      <c r="P50" s="20"/>
      <c r="S50" s="74" t="s">
        <v>326</v>
      </c>
      <c r="T50" s="56"/>
      <c r="U50" s="56"/>
      <c r="V50" s="56"/>
      <c r="W50" s="56"/>
      <c r="X50" s="56"/>
      <c r="Y50" s="56"/>
      <c r="Z50" s="57"/>
      <c r="AA50" s="57"/>
      <c r="AB50" s="57"/>
      <c r="AC50" s="58"/>
      <c r="AD50" s="57"/>
      <c r="AE50" s="57"/>
      <c r="AF50" s="56"/>
      <c r="AG50" s="69"/>
      <c r="AH50" s="70"/>
      <c r="AK50" s="9" t="s">
        <v>300</v>
      </c>
      <c r="AL50" s="56"/>
      <c r="AM50" s="56"/>
      <c r="AN50" s="56"/>
      <c r="AO50" s="56"/>
      <c r="AP50" s="56"/>
      <c r="AQ50" s="56"/>
      <c r="AR50" s="57">
        <v>567622</v>
      </c>
      <c r="AS50" s="57">
        <v>376180</v>
      </c>
      <c r="AT50" s="57">
        <v>409005</v>
      </c>
      <c r="AU50" s="58">
        <v>710845</v>
      </c>
      <c r="AV50" s="57">
        <v>618092</v>
      </c>
      <c r="AW50" s="57">
        <v>323494</v>
      </c>
      <c r="AX50" s="56"/>
      <c r="AY50" s="69"/>
      <c r="AZ50" s="70"/>
    </row>
    <row r="51" spans="1:52" x14ac:dyDescent="0.2">
      <c r="A51" s="6"/>
      <c r="B51" s="11"/>
      <c r="C51" s="11"/>
      <c r="D51" s="11"/>
      <c r="E51" s="11"/>
      <c r="F51" s="11"/>
      <c r="G51" s="11"/>
      <c r="H51" s="13"/>
      <c r="I51" s="13"/>
      <c r="J51" s="13"/>
      <c r="K51" s="12"/>
      <c r="L51" s="13"/>
      <c r="M51" s="13"/>
      <c r="N51" s="11"/>
      <c r="O51" s="20"/>
      <c r="P51" s="20"/>
      <c r="S51" s="9"/>
      <c r="T51" s="56"/>
      <c r="U51" s="56"/>
      <c r="V51" s="56"/>
      <c r="W51" s="56"/>
      <c r="X51" s="56"/>
      <c r="Y51" s="56"/>
      <c r="Z51" s="57"/>
      <c r="AA51" s="57"/>
      <c r="AB51" s="57"/>
      <c r="AC51" s="58"/>
      <c r="AD51" s="57"/>
      <c r="AE51" s="57"/>
      <c r="AF51" s="56"/>
      <c r="AG51" s="69"/>
      <c r="AH51" s="70"/>
      <c r="AK51" s="9"/>
      <c r="AL51" s="56"/>
      <c r="AM51" s="56"/>
      <c r="AN51" s="56"/>
      <c r="AO51" s="56"/>
      <c r="AP51" s="56"/>
      <c r="AQ51" s="56"/>
      <c r="AR51" s="57"/>
      <c r="AS51" s="57"/>
      <c r="AT51" s="57"/>
      <c r="AU51" s="58"/>
      <c r="AV51" s="57"/>
      <c r="AW51" s="57"/>
      <c r="AX51" s="56"/>
      <c r="AY51" s="69"/>
      <c r="AZ51" s="70"/>
    </row>
    <row r="52" spans="1:52" x14ac:dyDescent="0.2">
      <c r="A52" s="6" t="s">
        <v>301</v>
      </c>
      <c r="B52" s="11"/>
      <c r="C52" s="11"/>
      <c r="D52" s="11"/>
      <c r="E52" s="11"/>
      <c r="F52" s="11"/>
      <c r="G52" s="13">
        <v>169</v>
      </c>
      <c r="H52" s="13">
        <v>170</v>
      </c>
      <c r="I52" s="13">
        <v>175</v>
      </c>
      <c r="J52" s="12">
        <v>183</v>
      </c>
      <c r="K52" s="13">
        <v>189</v>
      </c>
      <c r="L52" s="13">
        <v>199</v>
      </c>
      <c r="M52" s="11"/>
      <c r="N52" s="11"/>
      <c r="O52" s="20"/>
      <c r="P52" s="20"/>
      <c r="S52" s="9" t="s">
        <v>301</v>
      </c>
      <c r="T52" s="56"/>
      <c r="U52" s="56"/>
      <c r="V52" s="56"/>
      <c r="W52" s="56"/>
      <c r="X52" s="56"/>
      <c r="Y52" s="57">
        <v>-318437</v>
      </c>
      <c r="Z52" s="57">
        <v>-100511</v>
      </c>
      <c r="AA52" s="57">
        <v>-165155</v>
      </c>
      <c r="AB52" s="58">
        <v>-326772</v>
      </c>
      <c r="AC52" s="57">
        <v>-785129</v>
      </c>
      <c r="AD52" s="57">
        <v>-262073</v>
      </c>
      <c r="AE52" s="56"/>
      <c r="AF52" s="56"/>
      <c r="AG52" s="69"/>
      <c r="AH52" s="70"/>
      <c r="AK52" s="9" t="s">
        <v>301</v>
      </c>
      <c r="AL52" s="56"/>
      <c r="AM52" s="56"/>
      <c r="AN52" s="56"/>
      <c r="AO52" s="56"/>
      <c r="AP52" s="56"/>
      <c r="AQ52" s="57">
        <v>15170337</v>
      </c>
      <c r="AR52" s="57">
        <v>18045219</v>
      </c>
      <c r="AS52" s="57">
        <v>17589693</v>
      </c>
      <c r="AT52" s="58">
        <v>15332865</v>
      </c>
      <c r="AU52" s="57">
        <v>14971034</v>
      </c>
      <c r="AV52" s="57">
        <v>15300250</v>
      </c>
      <c r="AW52" s="56"/>
      <c r="AX52" s="56"/>
      <c r="AY52" s="69"/>
      <c r="AZ52" s="70"/>
    </row>
    <row r="53" spans="1:52" x14ac:dyDescent="0.2">
      <c r="A53" s="6" t="s">
        <v>303</v>
      </c>
      <c r="B53" s="11"/>
      <c r="C53" s="11"/>
      <c r="D53" s="11"/>
      <c r="E53" s="11"/>
      <c r="F53" s="11"/>
      <c r="G53" s="13">
        <v>210</v>
      </c>
      <c r="H53" s="13">
        <v>214</v>
      </c>
      <c r="I53" s="13">
        <v>203</v>
      </c>
      <c r="J53" s="12">
        <v>184</v>
      </c>
      <c r="K53" s="13">
        <v>171</v>
      </c>
      <c r="L53" s="13">
        <v>158</v>
      </c>
      <c r="M53" s="11"/>
      <c r="N53" s="11"/>
      <c r="O53" s="20"/>
      <c r="P53" s="20"/>
      <c r="S53" s="9" t="s">
        <v>303</v>
      </c>
      <c r="T53" s="56"/>
      <c r="U53" s="56"/>
      <c r="V53" s="56"/>
      <c r="W53" s="56"/>
      <c r="X53" s="56"/>
      <c r="Y53" s="57">
        <v>-303079</v>
      </c>
      <c r="Z53" s="57">
        <v>-246954</v>
      </c>
      <c r="AA53" s="57">
        <v>-278814</v>
      </c>
      <c r="AB53" s="58">
        <v>-236859</v>
      </c>
      <c r="AC53" s="57">
        <v>-166093</v>
      </c>
      <c r="AD53" s="57">
        <v>-855985</v>
      </c>
      <c r="AE53" s="56"/>
      <c r="AF53" s="56"/>
      <c r="AG53" s="69"/>
      <c r="AH53" s="70"/>
      <c r="AK53" s="9" t="s">
        <v>303</v>
      </c>
      <c r="AL53" s="56"/>
      <c r="AM53" s="56"/>
      <c r="AN53" s="56"/>
      <c r="AO53" s="56"/>
      <c r="AP53" s="56"/>
      <c r="AQ53" s="57">
        <v>23207254</v>
      </c>
      <c r="AR53" s="57">
        <v>23265077</v>
      </c>
      <c r="AS53" s="57">
        <v>21305276</v>
      </c>
      <c r="AT53" s="58">
        <v>14060953</v>
      </c>
      <c r="AU53" s="57">
        <v>12682480</v>
      </c>
      <c r="AV53" s="57">
        <v>12720505</v>
      </c>
      <c r="AW53" s="56"/>
      <c r="AX53" s="56"/>
      <c r="AY53" s="69"/>
      <c r="AZ53" s="70"/>
    </row>
    <row r="54" spans="1:52" x14ac:dyDescent="0.2">
      <c r="A54" s="6" t="s">
        <v>304</v>
      </c>
      <c r="B54" s="11"/>
      <c r="C54" s="11"/>
      <c r="D54" s="11"/>
      <c r="E54" s="11"/>
      <c r="F54" s="11"/>
      <c r="G54" s="13">
        <v>34</v>
      </c>
      <c r="H54" s="13">
        <v>37</v>
      </c>
      <c r="I54" s="13">
        <v>35</v>
      </c>
      <c r="J54" s="12">
        <v>28</v>
      </c>
      <c r="K54" s="13">
        <v>28</v>
      </c>
      <c r="L54" s="13">
        <v>23</v>
      </c>
      <c r="M54" s="11"/>
      <c r="N54" s="11"/>
      <c r="O54" s="20"/>
      <c r="P54" s="20"/>
      <c r="S54" s="9"/>
      <c r="T54" s="56"/>
      <c r="U54" s="56"/>
      <c r="V54" s="56"/>
      <c r="W54" s="56"/>
      <c r="X54" s="56"/>
      <c r="Y54" s="57"/>
      <c r="Z54" s="57"/>
      <c r="AA54" s="57"/>
      <c r="AB54" s="58"/>
      <c r="AC54" s="57"/>
      <c r="AD54" s="57"/>
      <c r="AE54" s="56"/>
      <c r="AF54" s="56"/>
      <c r="AG54" s="69"/>
      <c r="AH54" s="70"/>
      <c r="AK54" s="9" t="s">
        <v>304</v>
      </c>
      <c r="AL54" s="56"/>
      <c r="AM54" s="56"/>
      <c r="AN54" s="56"/>
      <c r="AO54" s="56"/>
      <c r="AP54" s="56"/>
      <c r="AQ54" s="57">
        <v>1592957</v>
      </c>
      <c r="AR54" s="57">
        <v>1564125</v>
      </c>
      <c r="AS54" s="57">
        <v>1212178</v>
      </c>
      <c r="AT54" s="58">
        <v>786086</v>
      </c>
      <c r="AU54" s="57">
        <v>696888</v>
      </c>
      <c r="AV54" s="57">
        <v>568083</v>
      </c>
      <c r="AW54" s="56"/>
      <c r="AX54" s="56"/>
      <c r="AY54" s="69"/>
      <c r="AZ54" s="70"/>
    </row>
    <row r="55" spans="1:52" x14ac:dyDescent="0.2">
      <c r="A55" s="6" t="s">
        <v>306</v>
      </c>
      <c r="B55" s="11"/>
      <c r="C55" s="11"/>
      <c r="D55" s="11"/>
      <c r="E55" s="11"/>
      <c r="F55" s="11"/>
      <c r="G55" s="13">
        <v>357</v>
      </c>
      <c r="H55" s="13">
        <v>343</v>
      </c>
      <c r="I55" s="13">
        <v>372</v>
      </c>
      <c r="J55" s="12">
        <v>433</v>
      </c>
      <c r="K55" s="13">
        <v>489</v>
      </c>
      <c r="L55" s="13">
        <v>447</v>
      </c>
      <c r="M55" s="11"/>
      <c r="N55" s="11"/>
      <c r="O55" s="20"/>
      <c r="P55" s="20"/>
      <c r="S55" s="9" t="s">
        <v>306</v>
      </c>
      <c r="T55" s="56"/>
      <c r="U55" s="56"/>
      <c r="V55" s="56"/>
      <c r="W55" s="56"/>
      <c r="X55" s="56"/>
      <c r="Y55" s="57">
        <v>-6131561</v>
      </c>
      <c r="Z55" s="57">
        <v>-5727820</v>
      </c>
      <c r="AA55" s="57">
        <v>-8490818</v>
      </c>
      <c r="AB55" s="58">
        <v>-7576674</v>
      </c>
      <c r="AC55" s="57">
        <v>-3835203</v>
      </c>
      <c r="AD55" s="57">
        <v>-2750614</v>
      </c>
      <c r="AE55" s="56"/>
      <c r="AF55" s="56"/>
      <c r="AG55" s="69"/>
      <c r="AH55" s="70"/>
      <c r="AK55" s="9" t="s">
        <v>306</v>
      </c>
      <c r="AL55" s="56"/>
      <c r="AM55" s="56"/>
      <c r="AN55" s="56"/>
      <c r="AO55" s="56"/>
      <c r="AP55" s="56"/>
      <c r="AQ55" s="57">
        <v>76267426</v>
      </c>
      <c r="AR55" s="57">
        <v>66057285</v>
      </c>
      <c r="AS55" s="57">
        <v>82420197</v>
      </c>
      <c r="AT55" s="58">
        <v>60837807</v>
      </c>
      <c r="AU55" s="57">
        <v>65794604</v>
      </c>
      <c r="AV55" s="57">
        <v>59899767</v>
      </c>
      <c r="AW55" s="56"/>
      <c r="AX55" s="56"/>
      <c r="AY55" s="69"/>
      <c r="AZ55" s="70"/>
    </row>
    <row r="56" spans="1:52" x14ac:dyDescent="0.2">
      <c r="A56" s="6"/>
      <c r="B56" s="11"/>
      <c r="C56" s="11"/>
      <c r="D56" s="11"/>
      <c r="E56" s="11"/>
      <c r="F56" s="11"/>
      <c r="G56" s="13"/>
      <c r="H56" s="13"/>
      <c r="I56" s="13"/>
      <c r="J56" s="12"/>
      <c r="K56" s="13"/>
      <c r="L56" s="13"/>
      <c r="M56" s="11"/>
      <c r="N56" s="11"/>
      <c r="O56" s="20"/>
      <c r="P56" s="20"/>
      <c r="S56" s="9"/>
      <c r="T56" s="56"/>
      <c r="U56" s="56"/>
      <c r="V56" s="56"/>
      <c r="W56" s="56"/>
      <c r="X56" s="56"/>
      <c r="Y56" s="57"/>
      <c r="Z56" s="57"/>
      <c r="AA56" s="57"/>
      <c r="AB56" s="58"/>
      <c r="AC56" s="57"/>
      <c r="AD56" s="57"/>
      <c r="AE56" s="56"/>
      <c r="AF56" s="56"/>
      <c r="AG56" s="69"/>
      <c r="AH56" s="70"/>
      <c r="AK56" s="9"/>
      <c r="AL56" s="56"/>
      <c r="AM56" s="56"/>
      <c r="AN56" s="56"/>
      <c r="AO56" s="56"/>
      <c r="AP56" s="56"/>
      <c r="AQ56" s="57"/>
      <c r="AR56" s="57"/>
      <c r="AS56" s="57"/>
      <c r="AT56" s="58"/>
      <c r="AU56" s="57"/>
      <c r="AV56" s="57"/>
      <c r="AW56" s="56"/>
      <c r="AX56" s="56"/>
      <c r="AY56" s="69"/>
      <c r="AZ56" s="70"/>
    </row>
    <row r="57" spans="1:52" x14ac:dyDescent="0.2">
      <c r="A57" s="6" t="s">
        <v>307</v>
      </c>
      <c r="B57" s="11"/>
      <c r="C57" s="11"/>
      <c r="D57" s="11"/>
      <c r="E57" s="11"/>
      <c r="F57" s="11"/>
      <c r="G57" s="13">
        <v>6</v>
      </c>
      <c r="H57" s="13">
        <v>6</v>
      </c>
      <c r="I57" s="13">
        <v>6</v>
      </c>
      <c r="J57" s="12">
        <v>5</v>
      </c>
      <c r="K57" s="13">
        <v>5</v>
      </c>
      <c r="L57" s="13">
        <v>3</v>
      </c>
      <c r="M57" s="11"/>
      <c r="N57" s="11"/>
      <c r="O57" s="20"/>
      <c r="P57" s="20"/>
      <c r="S57" s="9"/>
      <c r="T57" s="56"/>
      <c r="U57" s="56"/>
      <c r="V57" s="56"/>
      <c r="W57" s="56"/>
      <c r="X57" s="56"/>
      <c r="Y57" s="57"/>
      <c r="Z57" s="57"/>
      <c r="AA57" s="57"/>
      <c r="AB57" s="58"/>
      <c r="AC57" s="57"/>
      <c r="AD57" s="57"/>
      <c r="AE57" s="56"/>
      <c r="AF57" s="56"/>
      <c r="AG57" s="69"/>
      <c r="AH57" s="70"/>
      <c r="AK57" s="9"/>
      <c r="AL57" s="56"/>
      <c r="AM57" s="56"/>
      <c r="AN57" s="56"/>
      <c r="AO57" s="56"/>
      <c r="AP57" s="56"/>
      <c r="AQ57" s="57"/>
      <c r="AR57" s="57"/>
      <c r="AS57" s="57"/>
      <c r="AT57" s="58"/>
      <c r="AU57" s="57"/>
      <c r="AV57" s="57"/>
      <c r="AW57" s="56"/>
      <c r="AX57" s="56"/>
      <c r="AY57" s="69"/>
      <c r="AZ57" s="70"/>
    </row>
    <row r="58" spans="1:52" x14ac:dyDescent="0.2">
      <c r="A58" s="6" t="s">
        <v>308</v>
      </c>
      <c r="B58" s="11"/>
      <c r="C58" s="11"/>
      <c r="D58" s="11"/>
      <c r="E58" s="11"/>
      <c r="F58" s="11"/>
      <c r="G58" s="13">
        <v>1</v>
      </c>
      <c r="H58" s="13">
        <v>1</v>
      </c>
      <c r="I58" s="13">
        <v>1</v>
      </c>
      <c r="J58" s="12">
        <v>5</v>
      </c>
      <c r="K58" s="13">
        <v>5</v>
      </c>
      <c r="L58" s="13">
        <v>3</v>
      </c>
      <c r="M58" s="11"/>
      <c r="N58" s="11"/>
      <c r="O58" s="20"/>
      <c r="P58" s="20"/>
      <c r="S58" s="9"/>
      <c r="T58" s="56"/>
      <c r="U58" s="56"/>
      <c r="V58" s="56"/>
      <c r="W58" s="56"/>
      <c r="X58" s="56"/>
      <c r="Y58" s="57"/>
      <c r="Z58" s="57"/>
      <c r="AA58" s="57"/>
      <c r="AB58" s="58"/>
      <c r="AC58" s="57"/>
      <c r="AD58" s="57"/>
      <c r="AE58" s="56"/>
      <c r="AF58" s="56"/>
      <c r="AG58" s="69"/>
      <c r="AH58" s="70"/>
      <c r="AK58" s="9"/>
      <c r="AL58" s="56"/>
      <c r="AM58" s="56"/>
      <c r="AN58" s="56"/>
      <c r="AO58" s="56"/>
      <c r="AP58" s="56"/>
      <c r="AQ58" s="57"/>
      <c r="AR58" s="57"/>
      <c r="AS58" s="57"/>
      <c r="AT58" s="58"/>
      <c r="AU58" s="57"/>
      <c r="AV58" s="57"/>
      <c r="AW58" s="56"/>
      <c r="AX58" s="56"/>
      <c r="AY58" s="69"/>
      <c r="AZ58" s="70"/>
    </row>
    <row r="59" spans="1:52" x14ac:dyDescent="0.2">
      <c r="A59" t="s">
        <v>309</v>
      </c>
      <c r="B59" s="11"/>
      <c r="C59" s="11"/>
      <c r="D59" s="11"/>
      <c r="E59" s="13">
        <v>103</v>
      </c>
      <c r="F59" s="13">
        <v>121</v>
      </c>
      <c r="G59" s="13">
        <v>123</v>
      </c>
      <c r="H59" s="12">
        <v>116</v>
      </c>
      <c r="I59" s="13">
        <v>100</v>
      </c>
      <c r="J59" s="13">
        <v>57</v>
      </c>
      <c r="K59" s="11"/>
      <c r="L59" s="11"/>
      <c r="M59" s="11"/>
      <c r="N59" s="11"/>
      <c r="O59" s="20"/>
      <c r="P59" s="20"/>
      <c r="S59" s="50" t="s">
        <v>309</v>
      </c>
      <c r="T59" s="56"/>
      <c r="U59" s="56"/>
      <c r="V59" s="56"/>
      <c r="W59" s="57">
        <v>-780536</v>
      </c>
      <c r="X59" s="57">
        <v>-213245</v>
      </c>
      <c r="Y59" s="57">
        <v>-547913</v>
      </c>
      <c r="Z59" s="58">
        <v>-139983</v>
      </c>
      <c r="AA59" s="57">
        <v>-160241</v>
      </c>
      <c r="AB59" s="57">
        <v>-505948</v>
      </c>
      <c r="AC59" s="56"/>
      <c r="AD59" s="56"/>
      <c r="AE59" s="56"/>
      <c r="AF59" s="56"/>
      <c r="AG59" s="69"/>
      <c r="AH59" s="70"/>
      <c r="AK59" s="50" t="s">
        <v>309</v>
      </c>
      <c r="AL59" s="56"/>
      <c r="AM59" s="56"/>
      <c r="AN59" s="56"/>
      <c r="AO59" s="57">
        <v>45179988</v>
      </c>
      <c r="AP59" s="57">
        <v>32061744</v>
      </c>
      <c r="AQ59" s="57">
        <v>34112185</v>
      </c>
      <c r="AR59" s="58">
        <v>40542567</v>
      </c>
      <c r="AS59" s="57">
        <v>17828939</v>
      </c>
      <c r="AT59" s="57">
        <v>13194079</v>
      </c>
      <c r="AU59" s="56"/>
      <c r="AV59" s="56"/>
      <c r="AW59" s="56"/>
      <c r="AX59" s="56"/>
      <c r="AY59" s="73"/>
      <c r="AZ59" s="70"/>
    </row>
    <row r="60" spans="1:52" x14ac:dyDescent="0.2">
      <c r="A60" s="6"/>
      <c r="B60" s="11"/>
      <c r="C60" s="11"/>
      <c r="D60" s="11"/>
      <c r="E60" s="13"/>
      <c r="F60" s="13"/>
      <c r="G60" s="13"/>
      <c r="H60" s="12">
        <v>75</v>
      </c>
      <c r="I60" s="13"/>
      <c r="J60" s="13"/>
      <c r="K60" s="11"/>
      <c r="L60" s="11"/>
      <c r="M60" s="11"/>
      <c r="N60" s="11"/>
      <c r="O60" s="21"/>
      <c r="P60" s="20"/>
      <c r="S60" s="9"/>
      <c r="T60" s="56"/>
      <c r="U60" s="56"/>
      <c r="V60" s="56"/>
      <c r="W60" s="57"/>
      <c r="X60" s="57"/>
      <c r="Y60" s="57"/>
      <c r="Z60" s="58"/>
      <c r="AA60" s="57"/>
      <c r="AB60" s="57"/>
      <c r="AC60" s="56"/>
      <c r="AD60" s="56"/>
      <c r="AE60" s="56"/>
      <c r="AF60" s="56"/>
      <c r="AG60" s="73"/>
      <c r="AH60" s="70"/>
      <c r="AK60" s="53" t="s">
        <v>328</v>
      </c>
      <c r="AL60" s="56"/>
      <c r="AM60" s="56"/>
      <c r="AN60" s="56"/>
      <c r="AO60" s="57"/>
      <c r="AP60" s="57"/>
      <c r="AQ60" s="57"/>
      <c r="AR60" s="58"/>
      <c r="AS60" s="57"/>
      <c r="AT60" s="57"/>
      <c r="AU60" s="56"/>
      <c r="AV60" s="56"/>
      <c r="AW60" s="56"/>
      <c r="AX60" s="56"/>
      <c r="AY60" s="73"/>
      <c r="AZ60" s="70"/>
    </row>
    <row r="61" spans="1:52" x14ac:dyDescent="0.2">
      <c r="A61" s="6" t="s">
        <v>311</v>
      </c>
      <c r="B61" s="11"/>
      <c r="C61" s="11"/>
      <c r="D61" s="11"/>
      <c r="E61" s="13">
        <v>61</v>
      </c>
      <c r="F61" s="13">
        <v>64</v>
      </c>
      <c r="G61" s="13">
        <v>64</v>
      </c>
      <c r="H61" s="12">
        <v>75</v>
      </c>
      <c r="I61" s="13">
        <v>75</v>
      </c>
      <c r="J61" s="13">
        <v>75</v>
      </c>
      <c r="K61" s="11"/>
      <c r="L61" s="11"/>
      <c r="M61" s="11"/>
      <c r="N61" s="11"/>
      <c r="O61" s="20"/>
      <c r="P61" s="20"/>
      <c r="S61" s="74" t="s">
        <v>326</v>
      </c>
      <c r="T61" s="56"/>
      <c r="U61" s="56"/>
      <c r="V61" s="56"/>
      <c r="W61" s="57"/>
      <c r="X61" s="57"/>
      <c r="Y61" s="57"/>
      <c r="Z61" s="58"/>
      <c r="AA61" s="57"/>
      <c r="AB61" s="57"/>
      <c r="AC61" s="56"/>
      <c r="AD61" s="56"/>
      <c r="AE61" s="56"/>
      <c r="AF61" s="56"/>
      <c r="AG61" s="69"/>
      <c r="AH61" s="70"/>
      <c r="AK61" s="9" t="s">
        <v>311</v>
      </c>
      <c r="AL61" s="56"/>
      <c r="AM61" s="56"/>
      <c r="AN61" s="56"/>
      <c r="AO61" s="57">
        <v>7299667</v>
      </c>
      <c r="AP61" s="57">
        <v>6903114</v>
      </c>
      <c r="AQ61" s="57">
        <v>6779422</v>
      </c>
      <c r="AR61" s="58">
        <v>7629038</v>
      </c>
      <c r="AS61" s="57">
        <v>7423729</v>
      </c>
      <c r="AT61" s="57">
        <v>5226240</v>
      </c>
      <c r="AU61" s="56"/>
      <c r="AV61" s="56"/>
      <c r="AW61" s="56"/>
      <c r="AX61" s="56"/>
      <c r="AY61" s="73"/>
      <c r="AZ61" s="70"/>
    </row>
    <row r="62" spans="1:52" x14ac:dyDescent="0.2">
      <c r="A62" s="6" t="s">
        <v>312</v>
      </c>
      <c r="B62" s="11"/>
      <c r="C62" s="11"/>
      <c r="D62" s="11"/>
      <c r="E62" s="13">
        <v>22</v>
      </c>
      <c r="F62" s="13">
        <v>19</v>
      </c>
      <c r="G62" s="13">
        <v>7</v>
      </c>
      <c r="H62" s="12">
        <v>4</v>
      </c>
      <c r="I62" s="13">
        <v>3</v>
      </c>
      <c r="J62" s="13">
        <v>8</v>
      </c>
      <c r="K62" s="11"/>
      <c r="L62" s="11"/>
      <c r="M62" s="11"/>
      <c r="N62" s="11"/>
      <c r="O62" s="20"/>
      <c r="P62" s="20"/>
      <c r="S62" s="9"/>
      <c r="T62" s="56"/>
      <c r="U62" s="56"/>
      <c r="V62" s="56"/>
      <c r="W62" s="57"/>
      <c r="X62" s="57"/>
      <c r="Y62" s="57"/>
      <c r="Z62" s="58"/>
      <c r="AA62" s="57"/>
      <c r="AB62" s="57"/>
      <c r="AC62" s="56"/>
      <c r="AD62" s="56"/>
      <c r="AE62" s="56"/>
      <c r="AF62" s="56"/>
      <c r="AG62" s="69"/>
      <c r="AH62" s="70"/>
      <c r="AK62" s="9" t="s">
        <v>312</v>
      </c>
      <c r="AL62" s="56"/>
      <c r="AM62" s="56"/>
      <c r="AN62" s="56"/>
      <c r="AO62" s="57">
        <v>243730</v>
      </c>
      <c r="AP62" s="57">
        <v>860552</v>
      </c>
      <c r="AQ62" s="57">
        <v>509156</v>
      </c>
      <c r="AR62" s="58">
        <v>535380</v>
      </c>
      <c r="AS62" s="57">
        <v>255219</v>
      </c>
      <c r="AT62" s="57">
        <v>177766</v>
      </c>
      <c r="AU62" s="56"/>
      <c r="AV62" s="56"/>
      <c r="AW62" s="56"/>
      <c r="AX62" s="56"/>
      <c r="AY62" s="69"/>
      <c r="AZ62" s="70"/>
    </row>
    <row r="63" spans="1:52" x14ac:dyDescent="0.2">
      <c r="A63" s="6" t="s">
        <v>314</v>
      </c>
      <c r="B63" s="11"/>
      <c r="C63" s="11"/>
      <c r="D63" s="11"/>
      <c r="E63" s="13">
        <v>144</v>
      </c>
      <c r="F63" s="13">
        <v>161</v>
      </c>
      <c r="G63" s="13">
        <v>161</v>
      </c>
      <c r="H63" s="12">
        <v>161</v>
      </c>
      <c r="I63" s="13">
        <v>155</v>
      </c>
      <c r="J63" s="13">
        <v>151</v>
      </c>
      <c r="K63" s="11"/>
      <c r="L63" s="11"/>
      <c r="M63" s="11"/>
      <c r="N63" s="11"/>
      <c r="O63" s="20"/>
      <c r="P63" s="20"/>
      <c r="S63" s="9"/>
      <c r="T63" s="56"/>
      <c r="U63" s="56"/>
      <c r="V63" s="56"/>
      <c r="W63" s="57"/>
      <c r="X63" s="57"/>
      <c r="Y63" s="57"/>
      <c r="Z63" s="58"/>
      <c r="AA63" s="57"/>
      <c r="AB63" s="57"/>
      <c r="AC63" s="56"/>
      <c r="AD63" s="56"/>
      <c r="AE63" s="56"/>
      <c r="AF63" s="56"/>
      <c r="AG63" s="69"/>
      <c r="AH63" s="70"/>
      <c r="AK63" s="9" t="s">
        <v>314</v>
      </c>
      <c r="AL63" s="56"/>
      <c r="AM63" s="56"/>
      <c r="AN63" s="56"/>
      <c r="AO63" s="57">
        <v>14968605</v>
      </c>
      <c r="AP63" s="57">
        <v>14393708</v>
      </c>
      <c r="AQ63" s="57">
        <v>12522057</v>
      </c>
      <c r="AR63" s="58">
        <v>12009005</v>
      </c>
      <c r="AS63" s="57">
        <v>13125057</v>
      </c>
      <c r="AT63" s="57">
        <v>11251624</v>
      </c>
      <c r="AU63" s="56"/>
      <c r="AV63" s="56"/>
      <c r="AW63" s="56"/>
      <c r="AX63" s="56"/>
      <c r="AY63" s="69"/>
      <c r="AZ63" s="70"/>
    </row>
    <row r="64" spans="1:52" x14ac:dyDescent="0.2">
      <c r="A64" s="6" t="s">
        <v>315</v>
      </c>
      <c r="B64" s="11"/>
      <c r="C64" s="11"/>
      <c r="D64" s="11"/>
      <c r="E64" s="13">
        <v>76</v>
      </c>
      <c r="F64" s="13">
        <v>78</v>
      </c>
      <c r="G64" s="13">
        <v>74</v>
      </c>
      <c r="H64" s="12">
        <v>78</v>
      </c>
      <c r="I64" s="13">
        <v>85</v>
      </c>
      <c r="J64" s="13">
        <v>89</v>
      </c>
      <c r="K64" s="11"/>
      <c r="L64" s="11"/>
      <c r="M64" s="11"/>
      <c r="N64" s="11"/>
      <c r="O64" s="20"/>
      <c r="P64" s="20"/>
      <c r="S64" s="9" t="s">
        <v>315</v>
      </c>
      <c r="T64" s="56"/>
      <c r="U64" s="56"/>
      <c r="V64" s="56"/>
      <c r="W64" s="57">
        <v>-56039</v>
      </c>
      <c r="X64" s="57">
        <v>-111061</v>
      </c>
      <c r="Y64" s="57">
        <v>-121522</v>
      </c>
      <c r="Z64" s="58">
        <v>-38531</v>
      </c>
      <c r="AA64" s="57">
        <v>-66453</v>
      </c>
      <c r="AB64" s="57">
        <v>-15409</v>
      </c>
      <c r="AC64" s="56"/>
      <c r="AD64" s="56"/>
      <c r="AE64" s="56"/>
      <c r="AF64" s="56"/>
      <c r="AG64" s="69"/>
      <c r="AH64" s="70"/>
      <c r="AK64" s="9" t="s">
        <v>315</v>
      </c>
      <c r="AL64" s="56"/>
      <c r="AM64" s="56"/>
      <c r="AN64" s="56"/>
      <c r="AO64" s="57">
        <v>5477107</v>
      </c>
      <c r="AP64" s="57">
        <v>4667996</v>
      </c>
      <c r="AQ64" s="57">
        <v>3485828</v>
      </c>
      <c r="AR64" s="58">
        <v>3699502</v>
      </c>
      <c r="AS64" s="57">
        <v>3587986</v>
      </c>
      <c r="AT64" s="57">
        <v>3234182</v>
      </c>
      <c r="AU64" s="56"/>
      <c r="AV64" s="56"/>
      <c r="AW64" s="56"/>
      <c r="AX64" s="56"/>
      <c r="AY64" s="69"/>
      <c r="AZ64" s="70"/>
    </row>
    <row r="65" spans="1:52" x14ac:dyDescent="0.2">
      <c r="A65" s="6" t="s">
        <v>317</v>
      </c>
      <c r="B65" s="11"/>
      <c r="C65" s="11"/>
      <c r="D65" s="11"/>
      <c r="E65" s="13">
        <v>360</v>
      </c>
      <c r="F65" s="13">
        <v>367</v>
      </c>
      <c r="G65" s="13">
        <v>384</v>
      </c>
      <c r="H65" s="12">
        <v>422</v>
      </c>
      <c r="I65" s="13">
        <v>452</v>
      </c>
      <c r="J65" s="13">
        <v>446</v>
      </c>
      <c r="K65" s="11"/>
      <c r="L65" s="11"/>
      <c r="M65" s="11"/>
      <c r="N65" s="11"/>
      <c r="O65" s="20"/>
      <c r="P65" s="20"/>
      <c r="S65" s="9"/>
      <c r="T65" s="56"/>
      <c r="U65" s="56"/>
      <c r="V65" s="56"/>
      <c r="W65" s="57"/>
      <c r="X65" s="57"/>
      <c r="Y65" s="57"/>
      <c r="Z65" s="58"/>
      <c r="AA65" s="57"/>
      <c r="AB65" s="57"/>
      <c r="AC65" s="56"/>
      <c r="AD65" s="56"/>
      <c r="AE65" s="56"/>
      <c r="AF65" s="56"/>
      <c r="AG65" s="69"/>
      <c r="AH65" s="70"/>
      <c r="AK65" s="9" t="s">
        <v>317</v>
      </c>
      <c r="AL65" s="56"/>
      <c r="AM65" s="56"/>
      <c r="AN65" s="56"/>
      <c r="AO65" s="57">
        <v>31961940</v>
      </c>
      <c r="AP65" s="57">
        <v>29065121</v>
      </c>
      <c r="AQ65" s="57">
        <v>24545570</v>
      </c>
      <c r="AR65" s="58">
        <v>32227521</v>
      </c>
      <c r="AS65" s="57">
        <v>31909132</v>
      </c>
      <c r="AT65" s="57">
        <v>32513187</v>
      </c>
      <c r="AU65" s="56"/>
      <c r="AV65" s="56"/>
      <c r="AW65" s="56"/>
      <c r="AX65" s="56"/>
      <c r="AY65" s="69"/>
      <c r="AZ65" s="70"/>
    </row>
    <row r="66" spans="1:52" x14ac:dyDescent="0.2">
      <c r="A66" s="6" t="s">
        <v>318</v>
      </c>
      <c r="B66" s="11"/>
      <c r="C66" s="11"/>
      <c r="D66" s="11"/>
      <c r="E66" s="13">
        <v>66</v>
      </c>
      <c r="F66" s="13">
        <v>51</v>
      </c>
      <c r="G66" s="13">
        <v>48</v>
      </c>
      <c r="H66" s="12">
        <v>50</v>
      </c>
      <c r="I66" s="13">
        <v>39</v>
      </c>
      <c r="J66" s="13">
        <v>36</v>
      </c>
      <c r="K66" s="11"/>
      <c r="L66" s="11"/>
      <c r="M66" s="11"/>
      <c r="N66" s="11"/>
      <c r="O66" s="20"/>
      <c r="P66" s="20"/>
      <c r="S66" s="9"/>
      <c r="T66" s="56"/>
      <c r="U66" s="56"/>
      <c r="V66" s="56"/>
      <c r="W66" s="57"/>
      <c r="X66" s="57"/>
      <c r="Y66" s="57"/>
      <c r="Z66" s="58"/>
      <c r="AA66" s="57"/>
      <c r="AB66" s="57"/>
      <c r="AC66" s="56"/>
      <c r="AD66" s="56"/>
      <c r="AE66" s="56"/>
      <c r="AF66" s="56"/>
      <c r="AG66" s="69"/>
      <c r="AH66" s="70"/>
      <c r="AK66" s="9" t="s">
        <v>318</v>
      </c>
      <c r="AL66" s="56"/>
      <c r="AM66" s="56"/>
      <c r="AN66" s="56"/>
      <c r="AO66" s="57">
        <v>4658940</v>
      </c>
      <c r="AP66" s="57">
        <v>2396100</v>
      </c>
      <c r="AQ66" s="57">
        <v>1977373</v>
      </c>
      <c r="AR66" s="58">
        <v>2211178</v>
      </c>
      <c r="AS66" s="57">
        <v>1874312</v>
      </c>
      <c r="AT66" s="57">
        <v>1614744</v>
      </c>
      <c r="AU66" s="56"/>
      <c r="AV66" s="56"/>
      <c r="AW66" s="56"/>
      <c r="AX66" s="56"/>
      <c r="AY66" s="69"/>
      <c r="AZ66" s="70"/>
    </row>
    <row r="67" spans="1:52" x14ac:dyDescent="0.2">
      <c r="A67" s="6"/>
      <c r="B67" s="11"/>
      <c r="C67" s="11"/>
      <c r="D67" s="11"/>
      <c r="E67" s="13"/>
      <c r="F67" s="13"/>
      <c r="G67" s="13"/>
      <c r="H67" s="12"/>
      <c r="I67" s="13"/>
      <c r="J67" s="14"/>
      <c r="O67" s="20"/>
      <c r="P67" s="20"/>
      <c r="S67" s="9"/>
      <c r="T67" s="56"/>
      <c r="U67" s="56"/>
      <c r="V67" s="56"/>
      <c r="W67" s="57"/>
      <c r="X67" s="57"/>
      <c r="Y67" s="57"/>
      <c r="Z67" s="58"/>
      <c r="AA67" s="57"/>
      <c r="AB67" s="59"/>
      <c r="AC67" s="50"/>
      <c r="AD67" s="50"/>
      <c r="AE67" s="50"/>
      <c r="AF67" s="50"/>
      <c r="AG67" s="69"/>
      <c r="AH67" s="70"/>
      <c r="AK67" s="9"/>
      <c r="AL67" s="56"/>
      <c r="AM67" s="56"/>
      <c r="AN67" s="56"/>
      <c r="AO67" s="57"/>
      <c r="AP67" s="57"/>
      <c r="AQ67" s="57"/>
      <c r="AR67" s="58"/>
      <c r="AS67" s="57"/>
      <c r="AT67" s="59"/>
      <c r="AU67" s="50"/>
      <c r="AV67" s="50"/>
      <c r="AW67" s="50"/>
      <c r="AX67" s="50"/>
      <c r="AY67" s="69"/>
      <c r="AZ67" s="70"/>
    </row>
    <row r="68" spans="1:52" x14ac:dyDescent="0.2">
      <c r="A68" s="6" t="s">
        <v>319</v>
      </c>
      <c r="B68" s="11"/>
      <c r="C68" s="11"/>
      <c r="D68" s="13">
        <v>244</v>
      </c>
      <c r="E68" s="13">
        <v>263</v>
      </c>
      <c r="F68" s="13">
        <v>273</v>
      </c>
      <c r="G68" s="12">
        <v>295</v>
      </c>
      <c r="H68" s="13">
        <v>296</v>
      </c>
      <c r="I68" s="13">
        <v>301</v>
      </c>
      <c r="J68" s="11"/>
      <c r="K68" s="11"/>
      <c r="L68" s="11"/>
      <c r="M68" s="11"/>
      <c r="N68" s="11"/>
      <c r="O68" s="20"/>
      <c r="P68" s="20"/>
      <c r="S68" s="9" t="s">
        <v>319</v>
      </c>
      <c r="T68" s="56"/>
      <c r="U68" s="56"/>
      <c r="V68" s="57">
        <v>-28255770</v>
      </c>
      <c r="W68" s="57">
        <v>-12963141</v>
      </c>
      <c r="X68" s="57">
        <v>-4465839</v>
      </c>
      <c r="Y68" s="58">
        <v>-9019410</v>
      </c>
      <c r="Z68" s="57">
        <v>-3603231</v>
      </c>
      <c r="AA68" s="57">
        <v>-7607923</v>
      </c>
      <c r="AB68" s="56"/>
      <c r="AC68" s="56"/>
      <c r="AD68" s="56"/>
      <c r="AE68" s="56"/>
      <c r="AF68" s="56"/>
      <c r="AG68" s="69"/>
      <c r="AH68" s="70"/>
      <c r="AK68" s="9" t="s">
        <v>319</v>
      </c>
      <c r="AL68" s="56"/>
      <c r="AM68" s="56"/>
      <c r="AN68" s="57">
        <v>90499158</v>
      </c>
      <c r="AO68" s="57">
        <v>80285744</v>
      </c>
      <c r="AP68" s="57">
        <v>58572768</v>
      </c>
      <c r="AQ68" s="58">
        <v>64078285</v>
      </c>
      <c r="AR68" s="57">
        <v>66431261</v>
      </c>
      <c r="AS68" s="57">
        <v>57723512</v>
      </c>
      <c r="AT68" s="56"/>
      <c r="AU68" s="56"/>
      <c r="AV68" s="56"/>
      <c r="AW68" s="56"/>
      <c r="AX68" s="56"/>
      <c r="AY68" s="69"/>
      <c r="AZ68" s="70"/>
    </row>
    <row r="69" spans="1:52" x14ac:dyDescent="0.2">
      <c r="A69" s="6" t="s">
        <v>320</v>
      </c>
      <c r="B69" s="11"/>
      <c r="C69" s="11"/>
      <c r="D69" s="13">
        <v>59</v>
      </c>
      <c r="E69" s="13">
        <v>71</v>
      </c>
      <c r="F69" s="13">
        <v>106</v>
      </c>
      <c r="G69" s="12">
        <v>96</v>
      </c>
      <c r="H69" s="13">
        <v>88</v>
      </c>
      <c r="I69" s="13">
        <v>86</v>
      </c>
      <c r="J69" s="11"/>
      <c r="K69" s="11"/>
      <c r="L69" s="11"/>
      <c r="M69" s="11"/>
      <c r="N69" s="11"/>
      <c r="O69" s="20"/>
      <c r="P69" s="20"/>
      <c r="S69" s="9"/>
      <c r="T69" s="56"/>
      <c r="U69" s="56"/>
      <c r="V69" s="57"/>
      <c r="W69" s="57"/>
      <c r="X69" s="57"/>
      <c r="Y69" s="58"/>
      <c r="Z69" s="57"/>
      <c r="AA69" s="57"/>
      <c r="AB69" s="56"/>
      <c r="AC69" s="56"/>
      <c r="AD69" s="56"/>
      <c r="AE69" s="56"/>
      <c r="AF69" s="56"/>
      <c r="AG69" s="69"/>
      <c r="AH69" s="70"/>
      <c r="AK69" s="9" t="s">
        <v>320</v>
      </c>
      <c r="AL69" s="56"/>
      <c r="AM69" s="56"/>
      <c r="AN69" s="57">
        <v>3436003</v>
      </c>
      <c r="AO69" s="57">
        <v>3389772</v>
      </c>
      <c r="AP69" s="57">
        <v>3793563</v>
      </c>
      <c r="AQ69" s="58">
        <v>4519585</v>
      </c>
      <c r="AR69" s="57">
        <v>3289652</v>
      </c>
      <c r="AS69" s="57">
        <v>3585452</v>
      </c>
      <c r="AT69" s="56"/>
      <c r="AU69" s="56"/>
      <c r="AV69" s="56"/>
      <c r="AW69" s="56"/>
      <c r="AX69" s="56"/>
      <c r="AY69" s="69"/>
      <c r="AZ69" s="70"/>
    </row>
    <row r="70" spans="1:52" x14ac:dyDescent="0.2">
      <c r="A70" s="6" t="s">
        <v>322</v>
      </c>
      <c r="B70" s="11"/>
      <c r="C70" s="11"/>
      <c r="D70" s="13">
        <v>40</v>
      </c>
      <c r="E70" s="13">
        <v>36</v>
      </c>
      <c r="F70" s="13">
        <v>38</v>
      </c>
      <c r="G70" s="12">
        <v>35</v>
      </c>
      <c r="H70" s="13">
        <v>34</v>
      </c>
      <c r="I70" s="13">
        <v>33</v>
      </c>
      <c r="J70" s="11"/>
      <c r="K70" s="11"/>
      <c r="L70" s="11"/>
      <c r="M70" s="11"/>
      <c r="N70" s="11"/>
      <c r="O70" s="20"/>
      <c r="P70" s="20"/>
      <c r="S70" s="9"/>
      <c r="T70" s="56"/>
      <c r="U70" s="56"/>
      <c r="V70" s="57"/>
      <c r="W70" s="57"/>
      <c r="X70" s="57"/>
      <c r="Y70" s="58"/>
      <c r="Z70" s="57"/>
      <c r="AA70" s="57"/>
      <c r="AB70" s="56"/>
      <c r="AC70" s="56"/>
      <c r="AD70" s="56"/>
      <c r="AE70" s="56"/>
      <c r="AF70" s="56"/>
      <c r="AG70" s="69"/>
      <c r="AH70" s="70"/>
      <c r="AK70" s="9" t="s">
        <v>322</v>
      </c>
      <c r="AL70" s="56"/>
      <c r="AM70" s="56"/>
      <c r="AN70" s="57">
        <v>1364420</v>
      </c>
      <c r="AO70" s="57">
        <v>2096159</v>
      </c>
      <c r="AP70" s="57">
        <v>1476762</v>
      </c>
      <c r="AQ70" s="58">
        <v>1675623</v>
      </c>
      <c r="AR70" s="57">
        <v>1489434</v>
      </c>
      <c r="AS70" s="57">
        <v>2044223</v>
      </c>
      <c r="AT70" s="56"/>
      <c r="AU70" s="56"/>
      <c r="AV70" s="56"/>
      <c r="AW70" s="56"/>
      <c r="AX70" s="56"/>
      <c r="AY70" s="69"/>
      <c r="AZ70" s="70"/>
    </row>
    <row r="71" spans="1:52" x14ac:dyDescent="0.2">
      <c r="A71" t="s">
        <v>323</v>
      </c>
      <c r="B71" s="11"/>
      <c r="C71" s="11"/>
      <c r="D71" s="13">
        <v>46</v>
      </c>
      <c r="E71" s="13">
        <v>42</v>
      </c>
      <c r="F71" s="13">
        <v>31</v>
      </c>
      <c r="G71" s="12">
        <v>33</v>
      </c>
      <c r="H71" s="13">
        <v>48</v>
      </c>
      <c r="I71" s="13">
        <v>64</v>
      </c>
      <c r="J71" s="11"/>
      <c r="K71" s="11"/>
      <c r="L71" s="11"/>
      <c r="M71" s="11"/>
      <c r="N71" s="11"/>
      <c r="O71" s="20"/>
      <c r="P71" s="20"/>
      <c r="S71" s="75" t="s">
        <v>326</v>
      </c>
      <c r="T71" s="56"/>
      <c r="U71" s="56"/>
      <c r="V71" s="57"/>
      <c r="W71" s="57"/>
      <c r="X71" s="57"/>
      <c r="Y71" s="58"/>
      <c r="Z71" s="57"/>
      <c r="AA71" s="57"/>
      <c r="AB71" s="56"/>
      <c r="AC71" s="56"/>
      <c r="AD71" s="56"/>
      <c r="AE71" s="56"/>
      <c r="AF71" s="56"/>
      <c r="AG71" s="69"/>
      <c r="AH71" s="70"/>
      <c r="AK71" s="50" t="s">
        <v>323</v>
      </c>
      <c r="AL71" s="56"/>
      <c r="AM71" s="56"/>
      <c r="AN71" s="57">
        <v>2075301</v>
      </c>
      <c r="AO71" s="57">
        <v>2065920</v>
      </c>
      <c r="AP71" s="57">
        <v>1373632</v>
      </c>
      <c r="AQ71" s="58">
        <v>1123166</v>
      </c>
      <c r="AR71" s="57">
        <v>2331137</v>
      </c>
      <c r="AS71" s="57">
        <v>3643016</v>
      </c>
      <c r="AT71" s="56"/>
      <c r="AU71" s="56"/>
      <c r="AV71" s="56"/>
      <c r="AW71" s="56"/>
      <c r="AX71" s="56"/>
      <c r="AY71" s="69"/>
      <c r="AZ71" s="70"/>
    </row>
    <row r="72" spans="1:52" x14ac:dyDescent="0.2">
      <c r="A72" s="6"/>
      <c r="B72" s="11"/>
      <c r="C72" s="11"/>
      <c r="D72" s="13"/>
      <c r="E72" s="13"/>
      <c r="F72" s="13"/>
      <c r="G72" s="12"/>
      <c r="H72" s="13"/>
      <c r="I72" s="13"/>
      <c r="J72" s="11"/>
      <c r="K72" s="11"/>
      <c r="L72" s="11"/>
      <c r="M72" s="11"/>
      <c r="N72" s="11"/>
      <c r="O72" s="19"/>
      <c r="P72" s="20"/>
      <c r="S72" s="9"/>
      <c r="T72" s="56"/>
      <c r="U72" s="56"/>
      <c r="V72" s="57"/>
      <c r="W72" s="57"/>
      <c r="X72" s="57"/>
      <c r="Y72" s="58"/>
      <c r="Z72" s="57"/>
      <c r="AA72" s="57"/>
      <c r="AB72" s="56"/>
      <c r="AC72" s="56"/>
      <c r="AD72" s="56"/>
      <c r="AE72" s="56"/>
      <c r="AF72" s="56"/>
      <c r="AG72" s="73"/>
      <c r="AH72" s="70"/>
      <c r="AK72" s="9"/>
      <c r="AL72" s="56"/>
      <c r="AM72" s="56"/>
      <c r="AN72" s="57"/>
      <c r="AO72" s="57"/>
      <c r="AP72" s="57"/>
      <c r="AQ72" s="58"/>
      <c r="AR72" s="57"/>
      <c r="AS72" s="57"/>
      <c r="AT72" s="56"/>
      <c r="AU72" s="56"/>
      <c r="AV72" s="56"/>
      <c r="AW72" s="56"/>
      <c r="AX72" s="56"/>
      <c r="AY72" s="73"/>
      <c r="AZ72" s="70"/>
    </row>
    <row r="73" spans="1:52" x14ac:dyDescent="0.2">
      <c r="A73" s="6" t="s">
        <v>324</v>
      </c>
      <c r="B73" s="11"/>
      <c r="C73" s="11"/>
      <c r="D73" s="13">
        <v>251</v>
      </c>
      <c r="E73" s="13">
        <v>291</v>
      </c>
      <c r="F73" s="13">
        <v>300</v>
      </c>
      <c r="G73" s="12">
        <v>311</v>
      </c>
      <c r="H73" s="13">
        <v>297</v>
      </c>
      <c r="I73" s="13">
        <v>271</v>
      </c>
      <c r="J73" s="11"/>
      <c r="K73" s="11"/>
      <c r="L73" s="11"/>
      <c r="M73" s="11"/>
      <c r="N73" s="11"/>
      <c r="O73" s="20"/>
      <c r="P73" s="20"/>
      <c r="S73" s="9" t="s">
        <v>324</v>
      </c>
      <c r="T73" s="56"/>
      <c r="U73" s="56"/>
      <c r="V73" s="57">
        <v>-332749</v>
      </c>
      <c r="W73" s="57">
        <v>-1173667</v>
      </c>
      <c r="X73" s="57">
        <v>-1179195</v>
      </c>
      <c r="Y73" s="58">
        <v>-511609</v>
      </c>
      <c r="Z73" s="57">
        <v>-414419</v>
      </c>
      <c r="AA73" s="57">
        <v>-418961</v>
      </c>
      <c r="AB73" s="56"/>
      <c r="AC73" s="56"/>
      <c r="AD73" s="56"/>
      <c r="AE73" s="56"/>
      <c r="AF73" s="56"/>
      <c r="AG73" s="69"/>
      <c r="AH73" s="70"/>
      <c r="AK73" s="9" t="s">
        <v>324</v>
      </c>
      <c r="AL73" s="56"/>
      <c r="AM73" s="56"/>
      <c r="AN73" s="57">
        <v>24026891</v>
      </c>
      <c r="AO73" s="57">
        <v>25058580</v>
      </c>
      <c r="AP73" s="57">
        <v>24434167</v>
      </c>
      <c r="AQ73" s="58">
        <v>21759842</v>
      </c>
      <c r="AR73" s="57">
        <v>24218653</v>
      </c>
      <c r="AS73" s="57">
        <v>22996221</v>
      </c>
      <c r="AT73" s="56"/>
      <c r="AU73" s="56"/>
      <c r="AV73" s="56"/>
      <c r="AW73" s="56"/>
      <c r="AX73" s="56"/>
      <c r="AY73" s="69"/>
      <c r="AZ73" s="70"/>
    </row>
    <row r="74" spans="1:52" x14ac:dyDescent="0.2">
      <c r="A74" s="6"/>
      <c r="B74" s="11"/>
      <c r="C74" s="11"/>
      <c r="D74" s="13"/>
      <c r="E74" s="13"/>
      <c r="F74" s="13"/>
      <c r="G74" s="12"/>
      <c r="H74" s="13"/>
      <c r="I74" s="13"/>
      <c r="J74" s="11"/>
      <c r="K74" s="11"/>
      <c r="L74" s="11"/>
      <c r="M74" s="11"/>
      <c r="N74" s="11"/>
      <c r="O74" s="19"/>
      <c r="P74" s="20"/>
      <c r="S74" s="9"/>
      <c r="T74" s="56"/>
      <c r="U74" s="56"/>
      <c r="V74" s="57"/>
      <c r="W74" s="57"/>
      <c r="X74" s="57"/>
      <c r="Y74" s="58"/>
      <c r="Z74" s="57"/>
      <c r="AA74" s="57"/>
      <c r="AB74" s="56"/>
      <c r="AC74" s="56"/>
      <c r="AD74" s="56"/>
      <c r="AE74" s="56"/>
      <c r="AF74" s="56"/>
      <c r="AG74" s="73"/>
      <c r="AH74" s="70"/>
      <c r="AK74" s="9"/>
      <c r="AL74" s="56"/>
      <c r="AM74" s="56"/>
      <c r="AN74" s="57"/>
      <c r="AO74" s="57"/>
      <c r="AP74" s="57"/>
      <c r="AQ74" s="58"/>
      <c r="AR74" s="57"/>
      <c r="AS74" s="57"/>
      <c r="AT74" s="56"/>
      <c r="AU74" s="56"/>
      <c r="AV74" s="56"/>
      <c r="AW74" s="56"/>
      <c r="AX74" s="56"/>
      <c r="AY74" s="73"/>
      <c r="AZ74" s="70"/>
    </row>
    <row r="75" spans="1:52" ht="16" thickBot="1" x14ac:dyDescent="0.25">
      <c r="A75" s="7" t="s">
        <v>325</v>
      </c>
      <c r="B75" s="11"/>
      <c r="C75" s="13">
        <v>35</v>
      </c>
      <c r="D75" s="13">
        <v>38</v>
      </c>
      <c r="E75" s="13">
        <v>31</v>
      </c>
      <c r="F75" s="12">
        <v>30</v>
      </c>
      <c r="G75" s="13">
        <v>26</v>
      </c>
      <c r="H75" s="13">
        <v>18</v>
      </c>
      <c r="I75" s="11"/>
      <c r="J75" s="11"/>
      <c r="K75" s="11"/>
      <c r="L75" s="11"/>
      <c r="M75" s="11"/>
      <c r="N75" s="11"/>
      <c r="O75" s="20"/>
      <c r="P75" s="20"/>
      <c r="S75" s="51" t="s">
        <v>326</v>
      </c>
      <c r="T75" s="56"/>
      <c r="U75" s="57"/>
      <c r="V75" s="57"/>
      <c r="W75" s="57"/>
      <c r="X75" s="58"/>
      <c r="Y75" s="57"/>
      <c r="Z75" s="57"/>
      <c r="AA75" s="56"/>
      <c r="AB75" s="56"/>
      <c r="AC75" s="56"/>
      <c r="AD75" s="56"/>
      <c r="AE75" s="56"/>
      <c r="AF75" s="56"/>
      <c r="AG75" s="69"/>
      <c r="AH75" s="70"/>
      <c r="AK75" s="10" t="s">
        <v>325</v>
      </c>
      <c r="AL75" s="56"/>
      <c r="AM75" s="57">
        <v>1852429</v>
      </c>
      <c r="AN75" s="57">
        <v>2170986</v>
      </c>
      <c r="AO75" s="57">
        <v>2182280</v>
      </c>
      <c r="AP75" s="58">
        <v>1748707</v>
      </c>
      <c r="AQ75" s="57">
        <v>1017757</v>
      </c>
      <c r="AR75" s="57">
        <v>774881</v>
      </c>
      <c r="AS75" s="56"/>
      <c r="AT75" s="56"/>
      <c r="AU75" s="56"/>
      <c r="AV75" s="56"/>
      <c r="AW75" s="56"/>
      <c r="AX75" s="56"/>
      <c r="AY75" s="69"/>
      <c r="AZ75" s="70"/>
    </row>
  </sheetData>
  <dataValidations count="1">
    <dataValidation type="list" allowBlank="1" showInputMessage="1" showErrorMessage="1" sqref="O4:O37" xr:uid="{E66434AD-698D-A446-BFE8-0DA64AC52CE0}">
      <formula1>"Yes,No,IDK"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A69B0-A1C8-2448-BD1F-33E1CB80E5CA}">
  <dimension ref="A1:P73"/>
  <sheetViews>
    <sheetView tabSelected="1" zoomScale="75" workbookViewId="0">
      <selection activeCell="R43" sqref="R43"/>
    </sheetView>
  </sheetViews>
  <sheetFormatPr baseColWidth="10" defaultRowHeight="15" x14ac:dyDescent="0.2"/>
  <cols>
    <col min="1" max="1" width="22.83203125" customWidth="1"/>
    <col min="2" max="12" width="15.1640625" bestFit="1" customWidth="1"/>
    <col min="13" max="14" width="14.1640625" bestFit="1" customWidth="1"/>
  </cols>
  <sheetData>
    <row r="1" spans="1:16" ht="16" thickBot="1" x14ac:dyDescent="0.25">
      <c r="A1" t="s">
        <v>247</v>
      </c>
      <c r="B1" s="2">
        <v>2025</v>
      </c>
      <c r="C1" s="3">
        <v>2024</v>
      </c>
      <c r="D1" s="3">
        <f>C1-1</f>
        <v>2023</v>
      </c>
      <c r="E1" s="3">
        <f t="shared" ref="E1:L1" si="0">D1-1</f>
        <v>2022</v>
      </c>
      <c r="F1" s="3">
        <f t="shared" si="0"/>
        <v>2021</v>
      </c>
      <c r="G1" s="3">
        <f t="shared" si="0"/>
        <v>2020</v>
      </c>
      <c r="H1" s="3">
        <f t="shared" si="0"/>
        <v>2019</v>
      </c>
      <c r="I1" s="3">
        <f t="shared" si="0"/>
        <v>2018</v>
      </c>
      <c r="J1" s="3">
        <f t="shared" si="0"/>
        <v>2017</v>
      </c>
      <c r="K1" s="3">
        <f t="shared" si="0"/>
        <v>2016</v>
      </c>
      <c r="L1" s="3">
        <f t="shared" si="0"/>
        <v>2015</v>
      </c>
      <c r="M1" s="3">
        <f t="shared" ref="M1" si="1">L1-1</f>
        <v>2014</v>
      </c>
      <c r="N1" s="4">
        <f t="shared" ref="N1" si="2">M1-1</f>
        <v>2013</v>
      </c>
      <c r="O1" s="24" t="s">
        <v>262</v>
      </c>
      <c r="P1" s="24" t="s">
        <v>224</v>
      </c>
    </row>
    <row r="2" spans="1:16" x14ac:dyDescent="0.2">
      <c r="A2" s="8" t="s">
        <v>123</v>
      </c>
      <c r="B2" s="11">
        <v>849382</v>
      </c>
      <c r="C2" s="11">
        <v>921481</v>
      </c>
      <c r="D2" s="11">
        <v>993581</v>
      </c>
      <c r="E2" s="11">
        <v>1411863</v>
      </c>
      <c r="F2" s="11">
        <v>1523872</v>
      </c>
      <c r="G2" s="11">
        <v>1224716</v>
      </c>
      <c r="H2" s="13">
        <v>1295454</v>
      </c>
      <c r="I2" s="13">
        <v>1366191</v>
      </c>
      <c r="J2" s="13">
        <v>1436929</v>
      </c>
      <c r="K2" s="12">
        <v>1505356</v>
      </c>
      <c r="L2" s="13">
        <v>1204414</v>
      </c>
      <c r="M2" s="13">
        <v>224210</v>
      </c>
      <c r="N2" s="11">
        <v>0</v>
      </c>
      <c r="O2" s="23" t="s">
        <v>263</v>
      </c>
      <c r="P2" s="23"/>
    </row>
    <row r="3" spans="1:16" x14ac:dyDescent="0.2">
      <c r="A3" s="9" t="s">
        <v>129</v>
      </c>
      <c r="B3" s="11" t="s">
        <v>222</v>
      </c>
      <c r="C3" s="11">
        <v>2767366</v>
      </c>
      <c r="D3" s="11">
        <v>2914748</v>
      </c>
      <c r="E3" s="11">
        <v>3057176</v>
      </c>
      <c r="F3" s="11">
        <v>3199604</v>
      </c>
      <c r="G3" s="11">
        <v>3245265</v>
      </c>
      <c r="H3" s="13">
        <v>3293100</v>
      </c>
      <c r="I3" s="13">
        <v>3420402</v>
      </c>
      <c r="J3" s="13">
        <v>1397816</v>
      </c>
      <c r="K3" s="12">
        <v>1422694</v>
      </c>
      <c r="L3" s="13">
        <v>1447572</v>
      </c>
      <c r="M3" s="13">
        <v>1378247</v>
      </c>
      <c r="N3" s="11">
        <v>789096</v>
      </c>
      <c r="O3" s="20" t="s">
        <v>263</v>
      </c>
      <c r="P3" s="20"/>
    </row>
    <row r="4" spans="1:16" x14ac:dyDescent="0.2">
      <c r="A4" s="9" t="s">
        <v>144</v>
      </c>
      <c r="B4" s="11">
        <v>139108759</v>
      </c>
      <c r="C4" s="11">
        <v>145268079</v>
      </c>
      <c r="D4" s="11">
        <v>142122600</v>
      </c>
      <c r="E4" s="11">
        <v>140575842</v>
      </c>
      <c r="F4" s="11">
        <v>144967879</v>
      </c>
      <c r="G4" s="11">
        <v>133856770</v>
      </c>
      <c r="H4" s="13">
        <v>129774564</v>
      </c>
      <c r="I4" s="13">
        <v>126654918</v>
      </c>
      <c r="J4" s="13">
        <v>124964193</v>
      </c>
      <c r="K4" s="12">
        <v>129069629</v>
      </c>
      <c r="L4" s="13">
        <v>123148623</v>
      </c>
      <c r="M4" s="13">
        <v>76328492</v>
      </c>
      <c r="N4" s="11">
        <v>52187080</v>
      </c>
      <c r="O4" s="21" t="s">
        <v>263</v>
      </c>
      <c r="P4" s="20"/>
    </row>
    <row r="5" spans="1:16" x14ac:dyDescent="0.2">
      <c r="A5" s="9" t="s">
        <v>133</v>
      </c>
      <c r="B5" s="11" t="s">
        <v>222</v>
      </c>
      <c r="C5" s="11">
        <v>9003882</v>
      </c>
      <c r="D5" s="11">
        <v>9102898</v>
      </c>
      <c r="E5" s="11">
        <v>9065329</v>
      </c>
      <c r="F5" s="11">
        <v>9262404</v>
      </c>
      <c r="G5" s="11">
        <v>9449667</v>
      </c>
      <c r="H5" s="13">
        <v>5513004</v>
      </c>
      <c r="I5" s="13">
        <v>3724991</v>
      </c>
      <c r="J5" s="13">
        <v>3712998</v>
      </c>
      <c r="K5" s="12">
        <v>1580416</v>
      </c>
      <c r="L5" s="13">
        <v>1881465</v>
      </c>
      <c r="M5" s="13">
        <v>2441059</v>
      </c>
      <c r="N5" s="11">
        <v>2531156</v>
      </c>
      <c r="O5" s="20" t="s">
        <v>263</v>
      </c>
      <c r="P5" s="20"/>
    </row>
    <row r="6" spans="1:16" x14ac:dyDescent="0.2">
      <c r="A6" s="9" t="s">
        <v>139</v>
      </c>
      <c r="B6" s="11">
        <v>6520012</v>
      </c>
      <c r="C6" s="11">
        <v>6051306</v>
      </c>
      <c r="D6" s="11">
        <v>4049648</v>
      </c>
      <c r="E6" s="11">
        <v>3997021</v>
      </c>
      <c r="F6" s="11">
        <v>3707042</v>
      </c>
      <c r="G6" s="11">
        <v>2817579</v>
      </c>
      <c r="H6" s="13">
        <v>2259510</v>
      </c>
      <c r="I6" s="13">
        <v>384603</v>
      </c>
      <c r="J6" s="13">
        <v>407948</v>
      </c>
      <c r="K6" s="12">
        <v>107539</v>
      </c>
      <c r="L6" s="13">
        <v>0</v>
      </c>
      <c r="M6" s="13">
        <v>0</v>
      </c>
      <c r="N6" s="11" t="s">
        <v>222</v>
      </c>
      <c r="O6" s="22" t="s">
        <v>264</v>
      </c>
      <c r="P6" s="20" t="s">
        <v>268</v>
      </c>
    </row>
    <row r="7" spans="1:16" x14ac:dyDescent="0.2">
      <c r="A7" s="9" t="s">
        <v>205</v>
      </c>
      <c r="B7" s="11">
        <v>3006951</v>
      </c>
      <c r="C7" s="11">
        <v>3068188</v>
      </c>
      <c r="D7" s="11">
        <v>3194938</v>
      </c>
      <c r="E7" s="11">
        <v>3257585</v>
      </c>
      <c r="F7" s="11">
        <v>146093</v>
      </c>
      <c r="G7" s="11">
        <v>146093</v>
      </c>
      <c r="H7" s="13">
        <v>146093</v>
      </c>
      <c r="I7" s="15">
        <v>146093</v>
      </c>
      <c r="J7" s="13">
        <v>199000</v>
      </c>
      <c r="K7" s="12">
        <v>199000</v>
      </c>
      <c r="L7" s="13" t="s">
        <v>222</v>
      </c>
      <c r="M7" s="13" t="s">
        <v>222</v>
      </c>
      <c r="N7" s="11" t="s">
        <v>222</v>
      </c>
      <c r="O7" s="43" t="s">
        <v>264</v>
      </c>
      <c r="P7" s="20"/>
    </row>
    <row r="8" spans="1:16" x14ac:dyDescent="0.2">
      <c r="A8" s="9" t="s">
        <v>159</v>
      </c>
      <c r="B8" s="11" t="s">
        <v>222</v>
      </c>
      <c r="C8" s="11" t="s">
        <v>222</v>
      </c>
      <c r="D8" s="11">
        <v>0</v>
      </c>
      <c r="E8" s="11">
        <v>1506766</v>
      </c>
      <c r="F8" s="11">
        <v>1529711</v>
      </c>
      <c r="G8" s="11">
        <v>393000</v>
      </c>
      <c r="H8" s="13">
        <v>125000</v>
      </c>
      <c r="I8" s="13">
        <v>715854</v>
      </c>
      <c r="J8" s="13">
        <v>749333</v>
      </c>
      <c r="K8" s="12">
        <v>0</v>
      </c>
      <c r="L8" s="13">
        <v>0</v>
      </c>
      <c r="M8" s="13" t="s">
        <v>222</v>
      </c>
      <c r="N8" s="11" t="s">
        <v>222</v>
      </c>
      <c r="O8" s="43" t="s">
        <v>264</v>
      </c>
      <c r="P8" s="20"/>
    </row>
    <row r="9" spans="1:16" x14ac:dyDescent="0.2">
      <c r="A9" s="9" t="s">
        <v>164</v>
      </c>
      <c r="B9" s="11">
        <v>3088747</v>
      </c>
      <c r="C9" s="11">
        <v>4245326</v>
      </c>
      <c r="D9" s="11">
        <v>3071078</v>
      </c>
      <c r="E9" s="11">
        <v>3122220</v>
      </c>
      <c r="F9" s="11">
        <v>3223520</v>
      </c>
      <c r="G9" s="11">
        <v>331709</v>
      </c>
      <c r="H9" s="13">
        <v>612344</v>
      </c>
      <c r="I9" s="13">
        <v>506526</v>
      </c>
      <c r="J9" s="13">
        <v>523852</v>
      </c>
      <c r="K9" s="12">
        <v>536017</v>
      </c>
      <c r="L9" s="13">
        <v>194005</v>
      </c>
      <c r="M9" s="13">
        <v>433576</v>
      </c>
      <c r="N9" s="11">
        <v>0</v>
      </c>
      <c r="O9" s="20" t="s">
        <v>263</v>
      </c>
      <c r="P9" s="20"/>
    </row>
    <row r="10" spans="1:16" x14ac:dyDescent="0.2">
      <c r="A10" s="9" t="s">
        <v>182</v>
      </c>
      <c r="B10" s="11" t="s">
        <v>222</v>
      </c>
      <c r="C10" s="11">
        <v>9026394</v>
      </c>
      <c r="D10" s="11">
        <v>9567324</v>
      </c>
      <c r="E10" s="11">
        <v>3440123</v>
      </c>
      <c r="F10" s="11">
        <v>3396715</v>
      </c>
      <c r="G10" s="11">
        <v>2800916</v>
      </c>
      <c r="H10" s="13">
        <v>2845565</v>
      </c>
      <c r="I10" s="13">
        <v>2550405</v>
      </c>
      <c r="J10" s="13">
        <v>2269896</v>
      </c>
      <c r="K10" s="12">
        <v>0</v>
      </c>
      <c r="L10" s="13">
        <v>0</v>
      </c>
      <c r="M10" s="13">
        <v>0</v>
      </c>
      <c r="N10" s="11">
        <v>0</v>
      </c>
      <c r="O10" s="22" t="s">
        <v>264</v>
      </c>
      <c r="P10" s="20" t="s">
        <v>269</v>
      </c>
    </row>
    <row r="11" spans="1:16" x14ac:dyDescent="0.2">
      <c r="A11" s="9" t="s">
        <v>209</v>
      </c>
      <c r="B11" s="11" t="s">
        <v>222</v>
      </c>
      <c r="C11" s="11" t="s">
        <v>222</v>
      </c>
      <c r="D11" s="11" t="s">
        <v>222</v>
      </c>
      <c r="E11" s="11" t="s">
        <v>222</v>
      </c>
      <c r="F11" s="11" t="s">
        <v>222</v>
      </c>
      <c r="G11" s="11" t="s">
        <v>222</v>
      </c>
      <c r="H11" s="13" t="s">
        <v>222</v>
      </c>
      <c r="I11" s="13">
        <v>216061</v>
      </c>
      <c r="J11" s="13">
        <v>21606</v>
      </c>
      <c r="K11" s="12">
        <v>224218</v>
      </c>
      <c r="L11" s="13">
        <v>72231</v>
      </c>
      <c r="M11" s="13">
        <v>0</v>
      </c>
      <c r="N11" s="11">
        <v>0</v>
      </c>
      <c r="O11" s="22" t="s">
        <v>264</v>
      </c>
      <c r="P11" s="20" t="s">
        <v>266</v>
      </c>
    </row>
    <row r="12" spans="1:16" x14ac:dyDescent="0.2">
      <c r="A12" s="9" t="s">
        <v>170</v>
      </c>
      <c r="B12" s="11">
        <v>5063026</v>
      </c>
      <c r="C12" s="11">
        <v>5325274</v>
      </c>
      <c r="D12" s="11">
        <v>5554321</v>
      </c>
      <c r="E12" s="11">
        <v>5817620</v>
      </c>
      <c r="F12" s="11">
        <v>6080919</v>
      </c>
      <c r="G12" s="13">
        <v>1529767</v>
      </c>
      <c r="H12" s="13">
        <v>1537729</v>
      </c>
      <c r="I12" s="13">
        <v>1423525</v>
      </c>
      <c r="J12" s="12">
        <v>1301664</v>
      </c>
      <c r="K12" s="13">
        <v>1341291</v>
      </c>
      <c r="L12" s="13">
        <v>255874</v>
      </c>
      <c r="M12" s="11">
        <v>292105</v>
      </c>
      <c r="N12" s="11">
        <v>227699</v>
      </c>
      <c r="O12" s="20" t="s">
        <v>263</v>
      </c>
      <c r="P12" s="20"/>
    </row>
    <row r="13" spans="1:16" x14ac:dyDescent="0.2">
      <c r="A13" s="9" t="s">
        <v>175</v>
      </c>
      <c r="B13" s="11" t="s">
        <v>222</v>
      </c>
      <c r="C13" s="11">
        <v>4571107</v>
      </c>
      <c r="D13" s="11">
        <v>4628491</v>
      </c>
      <c r="E13" s="11">
        <v>4833232</v>
      </c>
      <c r="F13" s="11">
        <v>4936097</v>
      </c>
      <c r="G13" s="13">
        <v>4758628</v>
      </c>
      <c r="H13" s="13">
        <v>4926686</v>
      </c>
      <c r="I13" s="13">
        <v>5013933</v>
      </c>
      <c r="J13" s="12">
        <v>5559156</v>
      </c>
      <c r="K13" s="13">
        <f>3644848+299998</f>
        <v>3944846</v>
      </c>
      <c r="L13" s="13">
        <f>299998+4086648</f>
        <v>4386646</v>
      </c>
      <c r="M13" s="11">
        <v>0</v>
      </c>
      <c r="N13" s="11">
        <v>0</v>
      </c>
      <c r="O13" s="20" t="s">
        <v>263</v>
      </c>
      <c r="P13" s="20"/>
    </row>
    <row r="14" spans="1:16" x14ac:dyDescent="0.2">
      <c r="A14" s="9" t="s">
        <v>186</v>
      </c>
      <c r="B14" s="11">
        <v>50861</v>
      </c>
      <c r="C14" s="11">
        <v>51908</v>
      </c>
      <c r="D14" s="11">
        <v>57164</v>
      </c>
      <c r="E14" s="11">
        <v>62420</v>
      </c>
      <c r="F14" s="11">
        <v>68417</v>
      </c>
      <c r="G14" s="13">
        <v>69373</v>
      </c>
      <c r="H14" s="13">
        <v>76939</v>
      </c>
      <c r="I14" s="13">
        <v>59248</v>
      </c>
      <c r="J14" s="12">
        <v>62602</v>
      </c>
      <c r="K14" s="13">
        <v>72380</v>
      </c>
      <c r="L14" s="13">
        <v>78516</v>
      </c>
      <c r="M14" s="11">
        <v>84801</v>
      </c>
      <c r="N14" s="11">
        <v>63505</v>
      </c>
      <c r="O14" s="20" t="s">
        <v>263</v>
      </c>
      <c r="P14" s="20"/>
    </row>
    <row r="15" spans="1:16" x14ac:dyDescent="0.2">
      <c r="A15" s="9" t="s">
        <v>195</v>
      </c>
      <c r="B15" s="11" t="s">
        <v>222</v>
      </c>
      <c r="C15" s="11">
        <v>4611073</v>
      </c>
      <c r="D15" s="11">
        <v>5098668</v>
      </c>
      <c r="E15" s="11">
        <v>5288594</v>
      </c>
      <c r="F15" s="11">
        <v>5302838</v>
      </c>
      <c r="G15" s="13">
        <v>5844322</v>
      </c>
      <c r="H15" s="13">
        <v>6255526</v>
      </c>
      <c r="I15" s="13">
        <v>5366276</v>
      </c>
      <c r="J15" s="12">
        <v>5638783</v>
      </c>
      <c r="K15" s="13">
        <v>4046596</v>
      </c>
      <c r="L15" s="13">
        <v>3682944</v>
      </c>
      <c r="M15" s="11">
        <v>3682945</v>
      </c>
      <c r="N15" s="11">
        <v>0</v>
      </c>
      <c r="O15" s="20" t="s">
        <v>263</v>
      </c>
      <c r="P15" s="20"/>
    </row>
    <row r="16" spans="1:16" x14ac:dyDescent="0.2">
      <c r="A16" s="9" t="s">
        <v>151</v>
      </c>
      <c r="B16" s="11" t="s">
        <v>222</v>
      </c>
      <c r="C16" s="11" t="s">
        <v>222</v>
      </c>
      <c r="D16" s="11" t="s">
        <v>222</v>
      </c>
      <c r="E16" s="11" t="s">
        <v>222</v>
      </c>
      <c r="F16" s="11" t="s">
        <v>222</v>
      </c>
      <c r="G16" s="13" t="s">
        <v>222</v>
      </c>
      <c r="H16" s="13" t="s">
        <v>222</v>
      </c>
      <c r="I16" s="13" t="s">
        <v>222</v>
      </c>
      <c r="J16" s="12" t="s">
        <v>222</v>
      </c>
      <c r="K16" s="13">
        <v>0</v>
      </c>
      <c r="L16" s="13">
        <v>0</v>
      </c>
      <c r="M16" s="11">
        <v>0</v>
      </c>
      <c r="N16" s="11">
        <v>0</v>
      </c>
      <c r="O16" s="22" t="s">
        <v>264</v>
      </c>
      <c r="P16" s="20" t="s">
        <v>266</v>
      </c>
    </row>
    <row r="17" spans="1:16" x14ac:dyDescent="0.2">
      <c r="A17" s="9" t="s">
        <v>190</v>
      </c>
      <c r="B17" s="11" t="s">
        <v>222</v>
      </c>
      <c r="C17" s="11">
        <v>5425698</v>
      </c>
      <c r="D17" s="11">
        <v>5521957</v>
      </c>
      <c r="E17" s="11">
        <v>53774</v>
      </c>
      <c r="F17" s="11">
        <v>57196</v>
      </c>
      <c r="G17" s="13">
        <v>60617</v>
      </c>
      <c r="H17" s="13">
        <v>64039</v>
      </c>
      <c r="I17" s="13">
        <v>67461</v>
      </c>
      <c r="J17" s="12">
        <v>70883</v>
      </c>
      <c r="K17" s="13">
        <v>74305</v>
      </c>
      <c r="L17" s="13">
        <v>77727</v>
      </c>
      <c r="M17" s="11">
        <v>81148</v>
      </c>
      <c r="N17" s="11">
        <v>84570</v>
      </c>
      <c r="O17" s="20" t="s">
        <v>263</v>
      </c>
      <c r="P17" s="20"/>
    </row>
    <row r="18" spans="1:16" x14ac:dyDescent="0.2">
      <c r="A18" s="9" t="s">
        <v>200</v>
      </c>
      <c r="B18" s="11">
        <v>6328</v>
      </c>
      <c r="C18" s="11">
        <v>6328</v>
      </c>
      <c r="D18" s="11">
        <v>6328</v>
      </c>
      <c r="E18" s="11">
        <v>6328</v>
      </c>
      <c r="F18" s="11">
        <v>6328</v>
      </c>
      <c r="G18" s="13">
        <v>6328</v>
      </c>
      <c r="H18" s="13">
        <v>6328</v>
      </c>
      <c r="I18" s="13">
        <v>6328</v>
      </c>
      <c r="J18" s="12">
        <v>0</v>
      </c>
      <c r="K18" s="13">
        <v>0</v>
      </c>
      <c r="L18" s="13">
        <v>0</v>
      </c>
      <c r="M18" s="11">
        <v>0</v>
      </c>
      <c r="N18" s="11">
        <v>0</v>
      </c>
      <c r="O18" s="22" t="s">
        <v>264</v>
      </c>
      <c r="P18" s="20" t="s">
        <v>268</v>
      </c>
    </row>
    <row r="19" spans="1:16" x14ac:dyDescent="0.2">
      <c r="A19" s="9" t="s">
        <v>75</v>
      </c>
      <c r="B19" s="11" t="s">
        <v>222</v>
      </c>
      <c r="C19" s="11">
        <v>2008120</v>
      </c>
      <c r="D19" s="11">
        <v>2123267</v>
      </c>
      <c r="E19" s="13">
        <v>2240413</v>
      </c>
      <c r="F19" s="13">
        <v>2398099</v>
      </c>
      <c r="G19" s="13">
        <v>2511497</v>
      </c>
      <c r="H19" s="12">
        <v>852361</v>
      </c>
      <c r="I19" s="13">
        <v>821849</v>
      </c>
      <c r="J19" s="13">
        <v>796595</v>
      </c>
      <c r="K19" s="11">
        <v>224214</v>
      </c>
      <c r="L19" s="11">
        <v>229755</v>
      </c>
      <c r="M19" s="11">
        <v>235319</v>
      </c>
      <c r="N19" s="11">
        <v>240882</v>
      </c>
      <c r="O19" s="19" t="s">
        <v>263</v>
      </c>
      <c r="P19" s="20"/>
    </row>
    <row r="20" spans="1:16" x14ac:dyDescent="0.2">
      <c r="A20" s="9" t="s">
        <v>81</v>
      </c>
      <c r="B20" s="11" t="s">
        <v>222</v>
      </c>
      <c r="C20" s="11">
        <v>6600611</v>
      </c>
      <c r="D20" s="11">
        <v>6683174</v>
      </c>
      <c r="E20" s="13">
        <v>6532090</v>
      </c>
      <c r="F20" s="13">
        <v>6384400</v>
      </c>
      <c r="G20" s="13">
        <v>6575542</v>
      </c>
      <c r="H20" s="12">
        <v>6850019</v>
      </c>
      <c r="I20" s="13">
        <v>512271</v>
      </c>
      <c r="J20" s="13">
        <v>51271</v>
      </c>
      <c r="K20" s="11">
        <v>0</v>
      </c>
      <c r="L20" s="11" t="s">
        <v>222</v>
      </c>
      <c r="M20" s="11" t="s">
        <v>222</v>
      </c>
      <c r="N20" s="11" t="s">
        <v>222</v>
      </c>
      <c r="O20" s="19" t="s">
        <v>263</v>
      </c>
      <c r="P20" s="20"/>
    </row>
    <row r="21" spans="1:16" x14ac:dyDescent="0.2">
      <c r="A21" s="9" t="s">
        <v>85</v>
      </c>
      <c r="B21" s="11">
        <v>2236206</v>
      </c>
      <c r="C21" s="11">
        <v>1971489</v>
      </c>
      <c r="D21" s="11">
        <v>2104722</v>
      </c>
      <c r="E21" s="13">
        <v>2152549</v>
      </c>
      <c r="F21" s="13">
        <v>1901363</v>
      </c>
      <c r="G21" s="13">
        <v>1984434</v>
      </c>
      <c r="H21" s="12">
        <v>2054532</v>
      </c>
      <c r="I21" s="13">
        <v>1828794</v>
      </c>
      <c r="J21" s="13">
        <v>1901816</v>
      </c>
      <c r="K21" s="11">
        <v>1861857</v>
      </c>
      <c r="L21" s="11">
        <v>1920348</v>
      </c>
      <c r="M21" s="11">
        <v>1986230</v>
      </c>
      <c r="N21" s="11">
        <v>1395810</v>
      </c>
      <c r="O21" s="19" t="s">
        <v>263</v>
      </c>
      <c r="P21" s="20"/>
    </row>
    <row r="22" spans="1:16" x14ac:dyDescent="0.2">
      <c r="A22" s="9" t="s">
        <v>100</v>
      </c>
      <c r="B22" s="11" t="s">
        <v>222</v>
      </c>
      <c r="C22" s="11">
        <v>17614082</v>
      </c>
      <c r="D22" s="11">
        <v>21357120</v>
      </c>
      <c r="E22" s="13">
        <v>19044382</v>
      </c>
      <c r="F22" s="13">
        <v>15352460</v>
      </c>
      <c r="G22" s="13">
        <v>15508672</v>
      </c>
      <c r="H22" s="12">
        <v>15160120</v>
      </c>
      <c r="I22" s="13">
        <v>12731802</v>
      </c>
      <c r="J22" s="13">
        <v>12618172</v>
      </c>
      <c r="K22" s="11">
        <v>12047620</v>
      </c>
      <c r="L22" s="11">
        <v>0</v>
      </c>
      <c r="M22" s="11">
        <v>0</v>
      </c>
      <c r="N22" s="11">
        <v>0</v>
      </c>
      <c r="O22" s="20" t="s">
        <v>263</v>
      </c>
      <c r="P22" s="20"/>
    </row>
    <row r="23" spans="1:16" x14ac:dyDescent="0.2">
      <c r="A23" s="9" t="s">
        <v>95</v>
      </c>
      <c r="B23" s="11" t="s">
        <v>222</v>
      </c>
      <c r="C23" s="11">
        <v>8644495</v>
      </c>
      <c r="D23" s="11">
        <v>8890247</v>
      </c>
      <c r="E23" s="13">
        <v>5544522</v>
      </c>
      <c r="F23" s="13">
        <v>117149</v>
      </c>
      <c r="G23" s="13">
        <v>0</v>
      </c>
      <c r="H23" s="12">
        <v>0</v>
      </c>
      <c r="I23" s="13">
        <v>0</v>
      </c>
      <c r="J23" s="13">
        <v>0</v>
      </c>
      <c r="K23" s="11">
        <v>0</v>
      </c>
      <c r="L23" s="11">
        <v>0</v>
      </c>
      <c r="M23" s="11">
        <v>0</v>
      </c>
      <c r="N23" s="11">
        <v>0</v>
      </c>
      <c r="O23" s="22" t="s">
        <v>264</v>
      </c>
      <c r="P23" s="20" t="s">
        <v>268</v>
      </c>
    </row>
    <row r="24" spans="1:16" x14ac:dyDescent="0.2">
      <c r="A24" s="9" t="s">
        <v>104</v>
      </c>
      <c r="B24" s="11">
        <v>5466253</v>
      </c>
      <c r="C24" s="11">
        <v>5315632</v>
      </c>
      <c r="D24" s="11">
        <v>5647458</v>
      </c>
      <c r="E24" s="13">
        <v>2655195</v>
      </c>
      <c r="F24" s="13">
        <v>2190030</v>
      </c>
      <c r="G24" s="13">
        <v>2254924</v>
      </c>
      <c r="H24" s="12">
        <v>1212477</v>
      </c>
      <c r="I24" s="13">
        <v>727758</v>
      </c>
      <c r="J24" s="13">
        <v>754291</v>
      </c>
      <c r="K24" s="11">
        <v>836328</v>
      </c>
      <c r="L24" s="11">
        <v>978281</v>
      </c>
      <c r="M24" s="11">
        <v>1096152</v>
      </c>
      <c r="N24" s="11">
        <v>1158304</v>
      </c>
      <c r="O24" s="20" t="s">
        <v>263</v>
      </c>
      <c r="P24" s="20"/>
    </row>
    <row r="25" spans="1:16" x14ac:dyDescent="0.2">
      <c r="A25" s="9" t="s">
        <v>110</v>
      </c>
      <c r="B25" s="11">
        <v>1653444</v>
      </c>
      <c r="C25" s="11">
        <v>1684816</v>
      </c>
      <c r="D25" s="11">
        <v>1716188</v>
      </c>
      <c r="E25" s="13">
        <v>1747560</v>
      </c>
      <c r="F25" s="13">
        <v>1778932</v>
      </c>
      <c r="G25" s="13">
        <v>1810314</v>
      </c>
      <c r="H25" s="12">
        <v>0</v>
      </c>
      <c r="I25" s="13">
        <v>0</v>
      </c>
      <c r="J25" s="13">
        <v>0</v>
      </c>
      <c r="K25" s="11">
        <v>0</v>
      </c>
      <c r="L25" s="11">
        <v>0</v>
      </c>
      <c r="M25" s="11">
        <v>0</v>
      </c>
      <c r="N25" s="11">
        <v>0</v>
      </c>
      <c r="O25" s="22" t="s">
        <v>264</v>
      </c>
      <c r="P25" s="20" t="s">
        <v>268</v>
      </c>
    </row>
    <row r="26" spans="1:16" x14ac:dyDescent="0.2">
      <c r="A26" s="9" t="s">
        <v>119</v>
      </c>
      <c r="B26" s="11">
        <v>3609218</v>
      </c>
      <c r="C26" s="11">
        <v>3674277</v>
      </c>
      <c r="D26" s="11">
        <v>3805034</v>
      </c>
      <c r="E26" s="13">
        <v>115000</v>
      </c>
      <c r="F26" s="13">
        <v>115000</v>
      </c>
      <c r="G26" s="13">
        <v>115000</v>
      </c>
      <c r="H26" s="12">
        <v>115000</v>
      </c>
      <c r="I26" s="13">
        <v>0</v>
      </c>
      <c r="J26" s="13">
        <v>0</v>
      </c>
      <c r="K26" s="11">
        <v>0</v>
      </c>
      <c r="L26" s="11">
        <v>0</v>
      </c>
      <c r="M26" s="11">
        <v>0</v>
      </c>
      <c r="N26" s="11">
        <v>0</v>
      </c>
      <c r="O26" s="22" t="s">
        <v>264</v>
      </c>
      <c r="P26" s="20" t="s">
        <v>268</v>
      </c>
    </row>
    <row r="27" spans="1:16" x14ac:dyDescent="0.2">
      <c r="A27" s="9" t="s">
        <v>115</v>
      </c>
      <c r="B27" s="11">
        <v>3384621</v>
      </c>
      <c r="C27" s="11">
        <v>3519046</v>
      </c>
      <c r="D27" s="11">
        <v>3653470</v>
      </c>
      <c r="E27" s="13">
        <v>3664672</v>
      </c>
      <c r="F27" s="13">
        <v>0</v>
      </c>
      <c r="G27" s="13">
        <v>0</v>
      </c>
      <c r="H27" s="12">
        <v>0</v>
      </c>
      <c r="I27" s="13">
        <v>0</v>
      </c>
      <c r="J27" s="14" t="s">
        <v>222</v>
      </c>
      <c r="K27" t="s">
        <v>222</v>
      </c>
      <c r="L27" t="s">
        <v>222</v>
      </c>
      <c r="M27" t="s">
        <v>222</v>
      </c>
      <c r="N27" t="s">
        <v>222</v>
      </c>
      <c r="O27" s="22" t="s">
        <v>264</v>
      </c>
      <c r="P27" s="20"/>
    </row>
    <row r="28" spans="1:16" x14ac:dyDescent="0.2">
      <c r="A28" s="9" t="s">
        <v>91</v>
      </c>
      <c r="B28" s="11" t="s">
        <v>222</v>
      </c>
      <c r="C28" s="11">
        <v>18401358</v>
      </c>
      <c r="D28" s="13">
        <v>9620677</v>
      </c>
      <c r="E28" s="13">
        <f>8901571</f>
        <v>8901571</v>
      </c>
      <c r="F28" s="13">
        <v>8622093</v>
      </c>
      <c r="G28" s="12">
        <v>8641751</v>
      </c>
      <c r="H28" s="13">
        <v>6491348</v>
      </c>
      <c r="I28" s="13">
        <v>6711642</v>
      </c>
      <c r="J28" s="11">
        <v>4388068</v>
      </c>
      <c r="K28" s="11">
        <v>848810</v>
      </c>
      <c r="L28" s="11">
        <v>526927</v>
      </c>
      <c r="M28" s="11">
        <v>526927</v>
      </c>
      <c r="N28" s="11">
        <v>383470</v>
      </c>
      <c r="O28" s="20" t="s">
        <v>263</v>
      </c>
      <c r="P28" s="20"/>
    </row>
    <row r="29" spans="1:16" x14ac:dyDescent="0.2">
      <c r="A29" s="9" t="s">
        <v>47</v>
      </c>
      <c r="B29" s="11">
        <v>0</v>
      </c>
      <c r="C29" s="11">
        <v>0</v>
      </c>
      <c r="D29" s="13">
        <v>0</v>
      </c>
      <c r="E29" s="13">
        <v>0</v>
      </c>
      <c r="F29" s="13">
        <v>0</v>
      </c>
      <c r="G29" s="12">
        <v>0</v>
      </c>
      <c r="H29" s="13">
        <v>0</v>
      </c>
      <c r="I29" s="13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22" t="s">
        <v>264</v>
      </c>
      <c r="P29" s="20" t="s">
        <v>270</v>
      </c>
    </row>
    <row r="30" spans="1:16" x14ac:dyDescent="0.2">
      <c r="A30" s="9" t="s">
        <v>52</v>
      </c>
      <c r="B30" s="11">
        <v>4181964</v>
      </c>
      <c r="C30" s="11">
        <v>4453900</v>
      </c>
      <c r="D30" s="13">
        <v>4669834</v>
      </c>
      <c r="E30" s="13">
        <v>2374305</v>
      </c>
      <c r="F30" s="13">
        <v>2543159</v>
      </c>
      <c r="G30" s="12">
        <v>2712012</v>
      </c>
      <c r="H30" s="13">
        <v>2880865</v>
      </c>
      <c r="I30" s="13">
        <v>1363715</v>
      </c>
      <c r="J30" s="11">
        <v>1450055</v>
      </c>
      <c r="K30" s="11">
        <v>1536396</v>
      </c>
      <c r="L30" s="11">
        <v>1566919</v>
      </c>
      <c r="M30" s="11">
        <v>0</v>
      </c>
      <c r="N30" s="11">
        <v>0</v>
      </c>
      <c r="O30" s="20" t="s">
        <v>263</v>
      </c>
      <c r="P30" s="20"/>
    </row>
    <row r="31" spans="1:16" x14ac:dyDescent="0.2">
      <c r="A31" s="9" t="s">
        <v>58</v>
      </c>
      <c r="B31" s="11">
        <v>158632</v>
      </c>
      <c r="C31" s="11">
        <v>175617</v>
      </c>
      <c r="D31" s="13">
        <v>193058</v>
      </c>
      <c r="E31" s="13">
        <v>211275</v>
      </c>
      <c r="F31" s="13">
        <v>229492</v>
      </c>
      <c r="G31" s="12">
        <v>247709</v>
      </c>
      <c r="H31" s="13">
        <v>265926</v>
      </c>
      <c r="I31" s="13">
        <v>284143</v>
      </c>
      <c r="J31" s="11">
        <v>295955</v>
      </c>
      <c r="K31" s="11">
        <v>105386</v>
      </c>
      <c r="L31" s="11">
        <v>85431</v>
      </c>
      <c r="M31" s="11">
        <v>92424</v>
      </c>
      <c r="N31" s="11">
        <v>0</v>
      </c>
      <c r="O31" s="20" t="s">
        <v>263</v>
      </c>
      <c r="P31" s="20"/>
    </row>
    <row r="32" spans="1:16" x14ac:dyDescent="0.2">
      <c r="A32" s="9" t="s">
        <v>26</v>
      </c>
      <c r="B32" s="11" t="s">
        <v>222</v>
      </c>
      <c r="C32" s="11" t="s">
        <v>222</v>
      </c>
      <c r="D32" s="13" t="s">
        <v>222</v>
      </c>
      <c r="E32" s="13" t="s">
        <v>222</v>
      </c>
      <c r="F32" s="13" t="s">
        <v>222</v>
      </c>
      <c r="G32" s="12" t="s">
        <v>222</v>
      </c>
      <c r="H32" s="13" t="s">
        <v>222</v>
      </c>
      <c r="I32" s="13" t="s">
        <v>222</v>
      </c>
      <c r="J32" s="11" t="s">
        <v>222</v>
      </c>
      <c r="K32" s="11" t="s">
        <v>222</v>
      </c>
      <c r="L32" s="11" t="s">
        <v>222</v>
      </c>
      <c r="M32" s="11" t="s">
        <v>222</v>
      </c>
      <c r="N32" s="11" t="s">
        <v>222</v>
      </c>
      <c r="O32" s="19" t="s">
        <v>264</v>
      </c>
      <c r="P32" s="20"/>
    </row>
    <row r="33" spans="1:16" x14ac:dyDescent="0.2">
      <c r="A33" s="9" t="s">
        <v>69</v>
      </c>
      <c r="B33" s="11">
        <v>4399278</v>
      </c>
      <c r="C33" s="11">
        <v>4604096</v>
      </c>
      <c r="D33" s="13">
        <v>4825644</v>
      </c>
      <c r="E33" s="13">
        <v>4581318</v>
      </c>
      <c r="F33" s="13">
        <v>4779786</v>
      </c>
      <c r="G33" s="12">
        <v>1711704</v>
      </c>
      <c r="H33" s="13">
        <v>1779053</v>
      </c>
      <c r="I33" s="13">
        <v>1825607</v>
      </c>
      <c r="J33" s="11">
        <v>1719437</v>
      </c>
      <c r="K33" s="11">
        <v>1751068</v>
      </c>
      <c r="L33" s="11">
        <v>1728893</v>
      </c>
      <c r="M33" s="11">
        <v>1623969</v>
      </c>
      <c r="N33" s="11">
        <v>1187998</v>
      </c>
      <c r="O33" s="20" t="s">
        <v>263</v>
      </c>
      <c r="P33" s="20"/>
    </row>
    <row r="34" spans="1:16" x14ac:dyDescent="0.2">
      <c r="A34" s="9" t="s">
        <v>39</v>
      </c>
      <c r="B34" s="11">
        <v>2583601</v>
      </c>
      <c r="C34" s="11">
        <v>2727134</v>
      </c>
      <c r="D34" s="13">
        <v>2837609</v>
      </c>
      <c r="E34" s="13">
        <v>0</v>
      </c>
      <c r="F34" s="13">
        <v>0</v>
      </c>
      <c r="G34" s="12">
        <v>0</v>
      </c>
      <c r="H34" s="13">
        <v>0</v>
      </c>
      <c r="I34" s="13" t="s">
        <v>222</v>
      </c>
      <c r="J34" s="11" t="s">
        <v>222</v>
      </c>
      <c r="K34" s="11" t="s">
        <v>222</v>
      </c>
      <c r="L34" s="11" t="s">
        <v>222</v>
      </c>
      <c r="M34" s="11" t="s">
        <v>222</v>
      </c>
      <c r="N34" s="11" t="s">
        <v>222</v>
      </c>
      <c r="O34" s="19" t="s">
        <v>264</v>
      </c>
      <c r="P34" s="20"/>
    </row>
    <row r="35" spans="1:16" ht="16" thickBot="1" x14ac:dyDescent="0.25">
      <c r="A35" s="10" t="s">
        <v>63</v>
      </c>
      <c r="B35" s="11" t="s">
        <v>222</v>
      </c>
      <c r="C35" s="13">
        <v>0</v>
      </c>
      <c r="D35" s="13">
        <v>0</v>
      </c>
      <c r="E35" s="13">
        <v>0</v>
      </c>
      <c r="F35" s="12">
        <v>0</v>
      </c>
      <c r="G35" s="13">
        <v>0</v>
      </c>
      <c r="H35" s="13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20" t="s">
        <v>265</v>
      </c>
      <c r="P35" s="20" t="s">
        <v>270</v>
      </c>
    </row>
    <row r="37" spans="1:16" x14ac:dyDescent="0.2">
      <c r="N37" s="27" t="s">
        <v>274</v>
      </c>
      <c r="O37" s="30">
        <f>COUNTIF(O2:O35,"yes")</f>
        <v>19</v>
      </c>
    </row>
    <row r="38" spans="1:16" ht="16" thickBot="1" x14ac:dyDescent="0.25"/>
    <row r="39" spans="1:16" ht="16" thickBot="1" x14ac:dyDescent="0.25">
      <c r="B39" s="2">
        <v>2025</v>
      </c>
      <c r="C39" s="3">
        <v>2024</v>
      </c>
      <c r="D39" s="3">
        <f>C39-1</f>
        <v>2023</v>
      </c>
      <c r="E39" s="3">
        <f t="shared" ref="E39" si="3">D39-1</f>
        <v>2022</v>
      </c>
      <c r="F39" s="3">
        <f t="shared" ref="F39" si="4">E39-1</f>
        <v>2021</v>
      </c>
      <c r="G39" s="3">
        <f t="shared" ref="G39" si="5">F39-1</f>
        <v>2020</v>
      </c>
      <c r="H39" s="3">
        <f t="shared" ref="H39" si="6">G39-1</f>
        <v>2019</v>
      </c>
      <c r="I39" s="3">
        <f t="shared" ref="I39" si="7">H39-1</f>
        <v>2018</v>
      </c>
      <c r="J39" s="3">
        <f t="shared" ref="J39" si="8">I39-1</f>
        <v>2017</v>
      </c>
      <c r="K39" s="3">
        <f t="shared" ref="K39" si="9">J39-1</f>
        <v>2016</v>
      </c>
      <c r="L39" s="3">
        <f t="shared" ref="L39" si="10">K39-1</f>
        <v>2015</v>
      </c>
      <c r="M39" s="3">
        <f t="shared" ref="M39" si="11">L39-1</f>
        <v>2014</v>
      </c>
      <c r="N39" s="4">
        <f t="shared" ref="N39" si="12">M39-1</f>
        <v>2013</v>
      </c>
      <c r="O39" s="24"/>
      <c r="P39" s="24"/>
    </row>
    <row r="40" spans="1:16" x14ac:dyDescent="0.2">
      <c r="A40" s="8" t="s">
        <v>297</v>
      </c>
      <c r="B40" s="11"/>
      <c r="C40" s="11"/>
      <c r="D40" s="11"/>
      <c r="E40" s="11"/>
      <c r="F40" s="11"/>
      <c r="G40" s="11"/>
      <c r="H40" s="13"/>
      <c r="I40" s="13"/>
      <c r="J40" s="13"/>
      <c r="K40" s="12"/>
      <c r="L40" s="13"/>
      <c r="M40" s="13"/>
      <c r="N40" s="11"/>
      <c r="O40" s="23"/>
      <c r="P40" s="23"/>
    </row>
    <row r="41" spans="1:16" x14ac:dyDescent="0.2">
      <c r="A41" s="52" t="s">
        <v>296</v>
      </c>
      <c r="B41" s="11"/>
      <c r="C41" s="11"/>
      <c r="D41" s="11"/>
      <c r="E41" s="11"/>
      <c r="F41" s="11"/>
      <c r="G41" s="11"/>
      <c r="H41" s="13"/>
      <c r="I41" s="13"/>
      <c r="J41" s="13"/>
      <c r="K41" s="12"/>
      <c r="L41" s="13"/>
      <c r="M41" s="13"/>
      <c r="N41" s="11"/>
      <c r="O41" s="20"/>
      <c r="P41" s="20"/>
    </row>
    <row r="42" spans="1:16" x14ac:dyDescent="0.2">
      <c r="A42" s="9"/>
      <c r="B42" s="11"/>
      <c r="C42" s="11"/>
      <c r="D42" s="11"/>
      <c r="E42" s="11"/>
      <c r="F42" s="11"/>
      <c r="G42" s="11"/>
      <c r="H42" s="13"/>
      <c r="I42" s="13"/>
      <c r="J42" s="13"/>
      <c r="K42" s="12"/>
      <c r="L42" s="13"/>
      <c r="M42" s="13"/>
      <c r="N42" s="11"/>
      <c r="O42" s="21"/>
      <c r="P42" s="20"/>
    </row>
    <row r="43" spans="1:16" x14ac:dyDescent="0.2">
      <c r="A43" s="9" t="s">
        <v>298</v>
      </c>
      <c r="B43" s="11"/>
      <c r="C43" s="11"/>
      <c r="D43" s="11"/>
      <c r="E43" s="11"/>
      <c r="F43" s="11"/>
      <c r="G43" s="11"/>
      <c r="H43" s="13"/>
      <c r="I43" s="13"/>
      <c r="J43" s="13"/>
      <c r="K43" s="12"/>
      <c r="L43" s="13"/>
      <c r="M43" s="13"/>
      <c r="N43" s="11"/>
      <c r="O43" s="20"/>
      <c r="P43" s="20"/>
    </row>
    <row r="44" spans="1:16" x14ac:dyDescent="0.2">
      <c r="A44" s="9" t="s">
        <v>299</v>
      </c>
      <c r="B44" s="11"/>
      <c r="C44" s="11"/>
      <c r="D44" s="11"/>
      <c r="E44" s="11"/>
      <c r="F44" s="11"/>
      <c r="G44" s="11"/>
      <c r="H44" s="13"/>
      <c r="I44" s="13"/>
      <c r="J44" s="13"/>
      <c r="K44" s="12"/>
      <c r="L44" s="13"/>
      <c r="M44" s="13"/>
      <c r="N44" s="11"/>
      <c r="O44" s="20"/>
      <c r="P44" s="20"/>
    </row>
    <row r="45" spans="1:16" x14ac:dyDescent="0.2">
      <c r="A45" s="9"/>
      <c r="B45" s="11"/>
      <c r="C45" s="11"/>
      <c r="D45" s="11"/>
      <c r="E45" s="11"/>
      <c r="F45" s="11"/>
      <c r="G45" s="11"/>
      <c r="H45" s="13"/>
      <c r="I45" s="15"/>
      <c r="J45" s="13"/>
      <c r="K45" s="12"/>
      <c r="L45" s="13"/>
      <c r="M45" s="13"/>
      <c r="N45" s="11"/>
      <c r="O45" s="21"/>
      <c r="P45" s="20"/>
    </row>
    <row r="46" spans="1:16" x14ac:dyDescent="0.2">
      <c r="A46" s="9"/>
      <c r="B46" s="11"/>
      <c r="C46" s="11"/>
      <c r="D46" s="11"/>
      <c r="E46" s="11"/>
      <c r="F46" s="11"/>
      <c r="G46" s="11"/>
      <c r="H46" s="13"/>
      <c r="I46" s="13"/>
      <c r="J46" s="13"/>
      <c r="K46" s="12"/>
      <c r="L46" s="13"/>
      <c r="M46" s="13"/>
      <c r="N46" s="11"/>
      <c r="O46" s="21"/>
      <c r="P46" s="20"/>
    </row>
    <row r="47" spans="1:16" x14ac:dyDescent="0.2">
      <c r="A47" s="9"/>
      <c r="B47" s="11"/>
      <c r="C47" s="11"/>
      <c r="D47" s="11"/>
      <c r="E47" s="11"/>
      <c r="F47" s="11"/>
      <c r="G47" s="11"/>
      <c r="H47" s="13"/>
      <c r="I47" s="13"/>
      <c r="J47" s="13"/>
      <c r="K47" s="12"/>
      <c r="L47" s="13"/>
      <c r="M47" s="13"/>
      <c r="N47" s="11"/>
      <c r="O47" s="20"/>
      <c r="P47" s="20"/>
    </row>
    <row r="48" spans="1:16" x14ac:dyDescent="0.2">
      <c r="A48" s="9" t="s">
        <v>300</v>
      </c>
      <c r="B48" s="11"/>
      <c r="C48" s="11"/>
      <c r="D48" s="11"/>
      <c r="E48" s="11"/>
      <c r="F48" s="11"/>
      <c r="G48" s="11"/>
      <c r="H48" s="13"/>
      <c r="I48" s="13"/>
      <c r="J48" s="13"/>
      <c r="K48" s="12"/>
      <c r="L48" s="13"/>
      <c r="M48" s="13"/>
      <c r="N48" s="11"/>
      <c r="O48" s="20"/>
      <c r="P48" s="20"/>
    </row>
    <row r="49" spans="1:16" x14ac:dyDescent="0.2">
      <c r="A49" s="9"/>
      <c r="B49" s="11"/>
      <c r="C49" s="11"/>
      <c r="D49" s="11"/>
      <c r="E49" s="11"/>
      <c r="F49" s="11"/>
      <c r="G49" s="11"/>
      <c r="H49" s="13"/>
      <c r="I49" s="13"/>
      <c r="J49" s="13"/>
      <c r="K49" s="12"/>
      <c r="L49" s="13"/>
      <c r="M49" s="13"/>
      <c r="N49" s="11"/>
      <c r="O49" s="20"/>
      <c r="P49" s="20"/>
    </row>
    <row r="50" spans="1:16" x14ac:dyDescent="0.2">
      <c r="A50" s="9" t="s">
        <v>301</v>
      </c>
      <c r="B50" s="11"/>
      <c r="C50" s="11"/>
      <c r="D50" s="11"/>
      <c r="E50" s="11"/>
      <c r="F50" s="11"/>
      <c r="G50" s="13"/>
      <c r="H50" s="13"/>
      <c r="I50" s="13"/>
      <c r="J50" s="12"/>
      <c r="K50" s="13"/>
      <c r="L50" s="13"/>
      <c r="M50" s="11"/>
      <c r="N50" s="11"/>
      <c r="O50" s="20"/>
      <c r="P50" s="20"/>
    </row>
    <row r="51" spans="1:16" x14ac:dyDescent="0.2">
      <c r="A51" s="9" t="s">
        <v>303</v>
      </c>
      <c r="B51" s="11"/>
      <c r="C51" s="11"/>
      <c r="D51" s="11"/>
      <c r="E51" s="11"/>
      <c r="F51" s="11"/>
      <c r="G51" s="13"/>
      <c r="H51" s="13"/>
      <c r="I51" s="13"/>
      <c r="J51" s="12"/>
      <c r="K51" s="13"/>
      <c r="L51" s="13"/>
      <c r="M51" s="11"/>
      <c r="N51" s="11"/>
      <c r="O51" s="20"/>
      <c r="P51" s="20"/>
    </row>
    <row r="52" spans="1:16" x14ac:dyDescent="0.2">
      <c r="A52" s="9" t="s">
        <v>304</v>
      </c>
      <c r="B52" s="11"/>
      <c r="C52" s="11"/>
      <c r="D52" s="11"/>
      <c r="E52" s="11"/>
      <c r="F52" s="11"/>
      <c r="G52" s="13"/>
      <c r="H52" s="13"/>
      <c r="I52" s="13"/>
      <c r="J52" s="12"/>
      <c r="K52" s="13"/>
      <c r="L52" s="13"/>
      <c r="M52" s="11"/>
      <c r="N52" s="11"/>
      <c r="O52" s="20"/>
      <c r="P52" s="20"/>
    </row>
    <row r="53" spans="1:16" x14ac:dyDescent="0.2">
      <c r="A53" s="9" t="s">
        <v>306</v>
      </c>
      <c r="B53" s="11"/>
      <c r="C53" s="11"/>
      <c r="D53" s="11"/>
      <c r="E53" s="11"/>
      <c r="F53" s="11"/>
      <c r="G53" s="13"/>
      <c r="H53" s="13"/>
      <c r="I53" s="13"/>
      <c r="J53" s="12"/>
      <c r="K53" s="13"/>
      <c r="L53" s="13"/>
      <c r="M53" s="11"/>
      <c r="N53" s="11"/>
      <c r="O53" s="20"/>
      <c r="P53" s="20"/>
    </row>
    <row r="54" spans="1:16" x14ac:dyDescent="0.2">
      <c r="A54" s="9"/>
      <c r="B54" s="11"/>
      <c r="C54" s="11"/>
      <c r="D54" s="11"/>
      <c r="E54" s="11"/>
      <c r="F54" s="11"/>
      <c r="G54" s="13"/>
      <c r="H54" s="13"/>
      <c r="I54" s="13"/>
      <c r="J54" s="12"/>
      <c r="K54" s="13"/>
      <c r="L54" s="13"/>
      <c r="M54" s="11"/>
      <c r="N54" s="11"/>
      <c r="O54" s="20"/>
      <c r="P54" s="20"/>
    </row>
    <row r="55" spans="1:16" x14ac:dyDescent="0.2">
      <c r="A55" s="9" t="s">
        <v>307</v>
      </c>
      <c r="B55" s="11"/>
      <c r="C55" s="11"/>
      <c r="D55" s="11"/>
      <c r="E55" s="11"/>
      <c r="F55" s="11"/>
      <c r="G55" s="13"/>
      <c r="H55" s="13"/>
      <c r="I55" s="13"/>
      <c r="J55" s="12"/>
      <c r="K55" s="13"/>
      <c r="L55" s="13"/>
      <c r="M55" s="11"/>
      <c r="N55" s="11"/>
      <c r="O55" s="20"/>
      <c r="P55" s="20"/>
    </row>
    <row r="56" spans="1:16" x14ac:dyDescent="0.2">
      <c r="A56" s="9" t="s">
        <v>308</v>
      </c>
      <c r="B56" s="11"/>
      <c r="C56" s="11"/>
      <c r="D56" s="11"/>
      <c r="E56" s="11"/>
      <c r="F56" s="11"/>
      <c r="G56" s="13"/>
      <c r="H56" s="13"/>
      <c r="I56" s="13"/>
      <c r="J56" s="12"/>
      <c r="K56" s="13"/>
      <c r="L56" s="13"/>
      <c r="M56" s="11"/>
      <c r="N56" s="11"/>
      <c r="O56" s="20"/>
      <c r="P56" s="20"/>
    </row>
    <row r="57" spans="1:16" x14ac:dyDescent="0.2">
      <c r="A57" s="50" t="s">
        <v>309</v>
      </c>
      <c r="B57" s="11"/>
      <c r="C57" s="11"/>
      <c r="D57" s="11"/>
      <c r="E57" s="13"/>
      <c r="F57" s="13"/>
      <c r="G57" s="13"/>
      <c r="H57" s="12"/>
      <c r="I57" s="13"/>
      <c r="J57" s="13"/>
      <c r="K57" s="11"/>
      <c r="L57" s="11"/>
      <c r="M57" s="11"/>
      <c r="N57" s="11"/>
      <c r="O57" s="21"/>
      <c r="P57" s="20"/>
    </row>
    <row r="58" spans="1:16" x14ac:dyDescent="0.2">
      <c r="A58" s="9"/>
      <c r="B58" s="11"/>
      <c r="C58" s="11"/>
      <c r="D58" s="11"/>
      <c r="E58" s="13"/>
      <c r="F58" s="13"/>
      <c r="G58" s="13"/>
      <c r="H58" s="12"/>
      <c r="I58" s="13"/>
      <c r="J58" s="13"/>
      <c r="K58" s="11"/>
      <c r="L58" s="11"/>
      <c r="M58" s="11"/>
      <c r="N58" s="11"/>
      <c r="O58" s="21"/>
      <c r="P58" s="20"/>
    </row>
    <row r="59" spans="1:16" x14ac:dyDescent="0.2">
      <c r="A59" s="9" t="s">
        <v>311</v>
      </c>
      <c r="B59" s="11"/>
      <c r="C59" s="11"/>
      <c r="D59" s="11"/>
      <c r="E59" s="13"/>
      <c r="F59" s="13"/>
      <c r="G59" s="13"/>
      <c r="H59" s="12"/>
      <c r="I59" s="13"/>
      <c r="J59" s="13"/>
      <c r="K59" s="11"/>
      <c r="L59" s="11"/>
      <c r="M59" s="11"/>
      <c r="N59" s="11"/>
      <c r="O59" s="21"/>
      <c r="P59" s="20"/>
    </row>
    <row r="60" spans="1:16" x14ac:dyDescent="0.2">
      <c r="A60" s="9" t="s">
        <v>312</v>
      </c>
      <c r="B60" s="11"/>
      <c r="C60" s="11"/>
      <c r="D60" s="11"/>
      <c r="E60" s="13"/>
      <c r="F60" s="13"/>
      <c r="G60" s="13"/>
      <c r="H60" s="12"/>
      <c r="I60" s="13"/>
      <c r="J60" s="13"/>
      <c r="K60" s="11"/>
      <c r="L60" s="11"/>
      <c r="M60" s="11"/>
      <c r="N60" s="11"/>
      <c r="O60" s="20"/>
      <c r="P60" s="20"/>
    </row>
    <row r="61" spans="1:16" x14ac:dyDescent="0.2">
      <c r="A61" s="9" t="s">
        <v>314</v>
      </c>
      <c r="B61" s="11"/>
      <c r="C61" s="11"/>
      <c r="D61" s="11"/>
      <c r="E61" s="13"/>
      <c r="F61" s="13"/>
      <c r="G61" s="13"/>
      <c r="H61" s="12"/>
      <c r="I61" s="13"/>
      <c r="J61" s="13"/>
      <c r="K61" s="11"/>
      <c r="L61" s="11"/>
      <c r="M61" s="11"/>
      <c r="N61" s="11"/>
      <c r="O61" s="20"/>
      <c r="P61" s="20"/>
    </row>
    <row r="62" spans="1:16" x14ac:dyDescent="0.2">
      <c r="A62" s="9" t="s">
        <v>315</v>
      </c>
      <c r="B62" s="11"/>
      <c r="C62" s="11"/>
      <c r="D62" s="11"/>
      <c r="E62" s="13"/>
      <c r="F62" s="13"/>
      <c r="G62" s="13"/>
      <c r="H62" s="12"/>
      <c r="I62" s="13"/>
      <c r="J62" s="13"/>
      <c r="K62" s="11"/>
      <c r="L62" s="11"/>
      <c r="M62" s="11"/>
      <c r="N62" s="11"/>
      <c r="O62" s="20"/>
      <c r="P62" s="20"/>
    </row>
    <row r="63" spans="1:16" x14ac:dyDescent="0.2">
      <c r="A63" s="9" t="s">
        <v>317</v>
      </c>
      <c r="B63" s="11"/>
      <c r="C63" s="11"/>
      <c r="D63" s="11"/>
      <c r="E63" s="13"/>
      <c r="F63" s="13"/>
      <c r="G63" s="13"/>
      <c r="H63" s="12"/>
      <c r="I63" s="13"/>
      <c r="J63" s="13"/>
      <c r="K63" s="11"/>
      <c r="L63" s="11"/>
      <c r="M63" s="11"/>
      <c r="N63" s="11"/>
      <c r="O63" s="20"/>
      <c r="P63" s="20"/>
    </row>
    <row r="64" spans="1:16" x14ac:dyDescent="0.2">
      <c r="A64" s="9" t="s">
        <v>318</v>
      </c>
      <c r="B64" s="11"/>
      <c r="C64" s="11"/>
      <c r="D64" s="11"/>
      <c r="E64" s="13"/>
      <c r="F64" s="13"/>
      <c r="G64" s="13"/>
      <c r="H64" s="12"/>
      <c r="I64" s="13"/>
      <c r="J64" s="13"/>
      <c r="K64" s="11"/>
      <c r="L64" s="11"/>
      <c r="M64" s="11"/>
      <c r="N64" s="11"/>
      <c r="O64" s="20"/>
      <c r="P64" s="20"/>
    </row>
    <row r="65" spans="1:16" x14ac:dyDescent="0.2">
      <c r="A65" s="9"/>
      <c r="B65" s="11"/>
      <c r="C65" s="11"/>
      <c r="D65" s="11"/>
      <c r="E65" s="13"/>
      <c r="F65" s="13"/>
      <c r="G65" s="13"/>
      <c r="H65" s="12"/>
      <c r="I65" s="13"/>
      <c r="J65" s="14"/>
      <c r="O65" s="20"/>
      <c r="P65" s="20"/>
    </row>
    <row r="66" spans="1:16" x14ac:dyDescent="0.2">
      <c r="A66" s="9" t="s">
        <v>319</v>
      </c>
      <c r="B66" s="11"/>
      <c r="C66" s="11"/>
      <c r="D66" s="13"/>
      <c r="E66" s="13"/>
      <c r="F66" s="13"/>
      <c r="G66" s="12"/>
      <c r="H66" s="13"/>
      <c r="I66" s="13"/>
      <c r="J66" s="11"/>
      <c r="K66" s="11"/>
      <c r="L66" s="11"/>
      <c r="M66" s="11"/>
      <c r="N66" s="11"/>
      <c r="O66" s="20"/>
      <c r="P66" s="20"/>
    </row>
    <row r="67" spans="1:16" x14ac:dyDescent="0.2">
      <c r="A67" s="9" t="s">
        <v>320</v>
      </c>
      <c r="B67" s="11"/>
      <c r="C67" s="11"/>
      <c r="D67" s="13"/>
      <c r="E67" s="13"/>
      <c r="F67" s="13"/>
      <c r="G67" s="12"/>
      <c r="H67" s="13"/>
      <c r="I67" s="13"/>
      <c r="J67" s="11"/>
      <c r="K67" s="11"/>
      <c r="L67" s="11"/>
      <c r="M67" s="11"/>
      <c r="N67" s="11"/>
      <c r="O67" s="20"/>
      <c r="P67" s="20"/>
    </row>
    <row r="68" spans="1:16" x14ac:dyDescent="0.2">
      <c r="A68" s="9" t="s">
        <v>322</v>
      </c>
      <c r="B68" s="11"/>
      <c r="C68" s="11"/>
      <c r="D68" s="13"/>
      <c r="E68" s="13"/>
      <c r="F68" s="13"/>
      <c r="G68" s="12"/>
      <c r="H68" s="13"/>
      <c r="I68" s="13"/>
      <c r="J68" s="11"/>
      <c r="K68" s="11"/>
      <c r="L68" s="11"/>
      <c r="M68" s="11"/>
      <c r="N68" s="11"/>
      <c r="O68" s="20"/>
      <c r="P68" s="20"/>
    </row>
    <row r="69" spans="1:16" x14ac:dyDescent="0.2">
      <c r="A69" s="50" t="s">
        <v>323</v>
      </c>
      <c r="B69" s="11"/>
      <c r="C69" s="11"/>
      <c r="D69" s="13"/>
      <c r="E69" s="13"/>
      <c r="F69" s="13"/>
      <c r="G69" s="12"/>
      <c r="H69" s="13"/>
      <c r="I69" s="13"/>
      <c r="J69" s="11"/>
      <c r="K69" s="11"/>
      <c r="L69" s="11"/>
      <c r="M69" s="11"/>
      <c r="N69" s="11"/>
      <c r="O69" s="20"/>
      <c r="P69" s="20"/>
    </row>
    <row r="70" spans="1:16" x14ac:dyDescent="0.2">
      <c r="A70" s="9"/>
      <c r="B70" s="11"/>
      <c r="C70" s="11"/>
      <c r="D70" s="13"/>
      <c r="E70" s="13"/>
      <c r="F70" s="13"/>
      <c r="G70" s="12"/>
      <c r="H70" s="13"/>
      <c r="I70" s="13"/>
      <c r="J70" s="11"/>
      <c r="K70" s="11"/>
      <c r="L70" s="11"/>
      <c r="M70" s="11"/>
      <c r="N70" s="11"/>
      <c r="O70" s="19"/>
      <c r="P70" s="20"/>
    </row>
    <row r="71" spans="1:16" x14ac:dyDescent="0.2">
      <c r="A71" s="9" t="s">
        <v>324</v>
      </c>
      <c r="B71" s="11"/>
      <c r="C71" s="11"/>
      <c r="D71" s="13"/>
      <c r="E71" s="13"/>
      <c r="F71" s="13"/>
      <c r="G71" s="12"/>
      <c r="H71" s="13"/>
      <c r="I71" s="13"/>
      <c r="J71" s="11"/>
      <c r="K71" s="11"/>
      <c r="L71" s="11"/>
      <c r="M71" s="11"/>
      <c r="N71" s="11"/>
      <c r="O71" s="20"/>
      <c r="P71" s="20"/>
    </row>
    <row r="72" spans="1:16" x14ac:dyDescent="0.2">
      <c r="A72" s="9"/>
      <c r="B72" s="11"/>
      <c r="C72" s="11"/>
      <c r="D72" s="13"/>
      <c r="E72" s="13"/>
      <c r="F72" s="13"/>
      <c r="G72" s="12"/>
      <c r="H72" s="13"/>
      <c r="I72" s="13"/>
      <c r="J72" s="11"/>
      <c r="K72" s="11"/>
      <c r="L72" s="11"/>
      <c r="M72" s="11"/>
      <c r="N72" s="11"/>
      <c r="O72" s="19"/>
      <c r="P72" s="20"/>
    </row>
    <row r="73" spans="1:16" ht="16" thickBot="1" x14ac:dyDescent="0.25">
      <c r="A73" s="10" t="s">
        <v>325</v>
      </c>
      <c r="B73" s="11"/>
      <c r="C73" s="13"/>
      <c r="D73" s="13"/>
      <c r="E73" s="13"/>
      <c r="F73" s="12"/>
      <c r="G73" s="13"/>
      <c r="H73" s="13"/>
      <c r="I73" s="11"/>
      <c r="J73" s="11"/>
      <c r="K73" s="11"/>
      <c r="L73" s="11"/>
      <c r="M73" s="11"/>
      <c r="N73" s="11"/>
      <c r="O73" s="20"/>
      <c r="P73" s="20"/>
    </row>
  </sheetData>
  <dataValidations count="1">
    <dataValidation type="list" allowBlank="1" showInputMessage="1" showErrorMessage="1" sqref="O2:O35" xr:uid="{7B83DB1E-2307-0A49-B754-B4DFAEE6056F}">
      <formula1>"Yes,No,IDK"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Aid recipients</vt:lpstr>
      <vt:lpstr>Firm list</vt:lpstr>
      <vt:lpstr>Non treated</vt:lpstr>
      <vt:lpstr>Employees</vt:lpstr>
      <vt:lpstr>Yearly Sales</vt:lpstr>
      <vt:lpstr>Investment (capex)</vt:lpstr>
      <vt:lpstr>Wages salaries</vt:lpstr>
      <vt:lpstr>Reversed sheets</vt:lpstr>
      <vt:lpstr>Tangible 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ZAICEVS JEGORS(za22j6ju)</cp:lastModifiedBy>
  <dcterms:created xsi:type="dcterms:W3CDTF">2026-05-20T20:46:48Z</dcterms:created>
  <dcterms:modified xsi:type="dcterms:W3CDTF">2026-07-11T09:33:13Z</dcterms:modified>
</cp:coreProperties>
</file>